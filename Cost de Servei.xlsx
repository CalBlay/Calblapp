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ev\cal-blay-webapp\"/>
    </mc:Choice>
  </mc:AlternateContent>
  <xr:revisionPtr revIDLastSave="0" documentId="8_{06D7B3C3-9E97-40CB-8E89-380ABE282DB8}" xr6:coauthVersionLast="47" xr6:coauthVersionMax="47" xr10:uidLastSave="{00000000-0000-0000-0000-000000000000}"/>
  <bookViews>
    <workbookView xWindow="-108" yWindow="-108" windowWidth="41496" windowHeight="16776" activeTab="2" xr2:uid="{D828BDE8-7E48-4427-944E-95004D68798A}"/>
  </bookViews>
  <sheets>
    <sheet name="Events" sheetId="2" r:id="rId1"/>
    <sheet name="% DEPT. LOG." sheetId="6" r:id="rId2"/>
    <sheet name="Cost Events_Casaments " sheetId="7" r:id="rId3"/>
    <sheet name="Resum " sheetId="8" r:id="rId4"/>
  </sheet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8" i="2" l="1"/>
  <c r="AA163" i="2"/>
  <c r="AA162" i="2"/>
  <c r="AA135" i="2"/>
  <c r="AA108" i="2"/>
  <c r="AA103" i="2"/>
  <c r="AA100" i="2"/>
  <c r="AA99" i="2"/>
  <c r="AA86" i="2"/>
  <c r="AG18" i="2"/>
  <c r="AF18" i="2"/>
  <c r="AE18" i="2"/>
  <c r="AB2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Z196" i="2" l="1"/>
  <c r="Z198" i="2"/>
  <c r="Z197" i="2"/>
  <c r="Z202" i="2"/>
  <c r="Z207" i="2"/>
  <c r="Z195" i="2"/>
  <c r="Z194" i="2"/>
  <c r="Z200" i="2"/>
  <c r="Z204" i="2"/>
  <c r="Z192" i="2"/>
  <c r="Z203" i="2"/>
  <c r="Z191" i="2"/>
  <c r="Z201" i="2"/>
  <c r="Z206" i="2"/>
  <c r="Z199" i="2"/>
  <c r="Z205" i="2"/>
  <c r="Z193" i="2"/>
  <c r="Z174" i="2"/>
  <c r="Z183" i="2"/>
  <c r="Z187" i="2"/>
  <c r="Z179" i="2"/>
  <c r="Z186" i="2"/>
  <c r="Z178" i="2"/>
  <c r="Z182" i="2"/>
  <c r="Z173" i="2"/>
  <c r="Z177" i="2"/>
  <c r="Z190" i="2"/>
  <c r="Z181" i="2"/>
  <c r="Z172" i="2"/>
  <c r="Z185" i="2"/>
  <c r="Z176" i="2"/>
  <c r="Z184" i="2"/>
  <c r="Z175" i="2"/>
  <c r="Z189" i="2"/>
  <c r="Z180" i="2"/>
  <c r="Z171" i="2"/>
  <c r="Z188" i="2"/>
  <c r="Z170" i="2"/>
  <c r="P164" i="2" l="1"/>
  <c r="P165" i="2"/>
  <c r="P166" i="2"/>
  <c r="P167" i="2"/>
  <c r="P168" i="2"/>
  <c r="P169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Y164" i="2"/>
  <c r="Y165" i="2"/>
  <c r="Y166" i="2"/>
  <c r="Y167" i="2"/>
  <c r="Y168" i="2"/>
  <c r="Y169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Z165" i="2" l="1"/>
  <c r="Z164" i="2"/>
  <c r="Z166" i="2"/>
  <c r="Z71" i="2"/>
  <c r="Z72" i="2"/>
  <c r="Z218" i="2"/>
  <c r="Z92" i="2"/>
  <c r="Z232" i="2"/>
  <c r="Z73" i="2"/>
  <c r="Z93" i="2"/>
  <c r="Z226" i="2"/>
  <c r="Z113" i="2"/>
  <c r="Z112" i="2"/>
  <c r="Z108" i="2"/>
  <c r="Z107" i="2"/>
  <c r="Z96" i="2"/>
  <c r="Z228" i="2"/>
  <c r="Z117" i="2"/>
  <c r="Z222" i="2"/>
  <c r="Z212" i="2"/>
  <c r="Z221" i="2"/>
  <c r="Z90" i="2"/>
  <c r="Z89" i="2"/>
  <c r="Z233" i="2"/>
  <c r="Z231" i="2"/>
  <c r="Z219" i="2"/>
  <c r="Z86" i="2"/>
  <c r="Z74" i="2"/>
  <c r="Z230" i="2"/>
  <c r="Z118" i="2"/>
  <c r="Z229" i="2"/>
  <c r="Z217" i="2"/>
  <c r="Z115" i="2"/>
  <c r="Z114" i="2"/>
  <c r="Z157" i="2"/>
  <c r="Z147" i="2"/>
  <c r="Z216" i="2"/>
  <c r="Z146" i="2"/>
  <c r="Z220" i="2"/>
  <c r="Z141" i="2"/>
  <c r="Z227" i="2"/>
  <c r="Z215" i="2"/>
  <c r="Z211" i="2"/>
  <c r="Z131" i="2"/>
  <c r="Z84" i="2"/>
  <c r="Z168" i="2"/>
  <c r="Z125" i="2"/>
  <c r="Z99" i="2"/>
  <c r="Z162" i="2"/>
  <c r="Z224" i="2"/>
  <c r="Z132" i="2"/>
  <c r="Z214" i="2"/>
  <c r="Z116" i="2"/>
  <c r="Z159" i="2"/>
  <c r="Z161" i="2"/>
  <c r="Z151" i="2"/>
  <c r="Z223" i="2"/>
  <c r="Z109" i="2"/>
  <c r="Z97" i="2"/>
  <c r="Z133" i="2"/>
  <c r="Z158" i="2"/>
  <c r="Z148" i="2"/>
  <c r="Z129" i="2"/>
  <c r="Z208" i="2"/>
  <c r="Z77" i="2"/>
  <c r="Z210" i="2"/>
  <c r="Z140" i="2"/>
  <c r="Z209" i="2"/>
  <c r="Z102" i="2"/>
  <c r="Z149" i="2"/>
  <c r="Z101" i="2"/>
  <c r="Z127" i="2"/>
  <c r="Z85" i="2"/>
  <c r="Z100" i="2"/>
  <c r="Z126" i="2"/>
  <c r="Z169" i="2"/>
  <c r="Z83" i="2"/>
  <c r="Z153" i="2"/>
  <c r="Z142" i="2"/>
  <c r="Z225" i="2"/>
  <c r="Z213" i="2"/>
  <c r="Z80" i="2"/>
  <c r="Z95" i="2"/>
  <c r="Z98" i="2"/>
  <c r="Z122" i="2"/>
  <c r="Z91" i="2"/>
  <c r="Z106" i="2"/>
  <c r="Z121" i="2"/>
  <c r="Z111" i="2"/>
  <c r="Z163" i="2"/>
  <c r="Z152" i="2"/>
  <c r="Z119" i="2"/>
  <c r="Z160" i="2"/>
  <c r="Z137" i="2"/>
  <c r="Z94" i="2"/>
  <c r="Z82" i="2"/>
  <c r="Z105" i="2"/>
  <c r="Z135" i="2"/>
  <c r="Z124" i="2"/>
  <c r="Z81" i="2"/>
  <c r="Z134" i="2"/>
  <c r="Z123" i="2"/>
  <c r="Z139" i="2"/>
  <c r="Z128" i="2"/>
  <c r="Z138" i="2"/>
  <c r="Z150" i="2"/>
  <c r="Z136" i="2"/>
  <c r="Z79" i="2"/>
  <c r="Z167" i="2"/>
  <c r="Z78" i="2"/>
  <c r="Z104" i="2"/>
  <c r="Z103" i="2"/>
  <c r="Z156" i="2"/>
  <c r="Z145" i="2"/>
  <c r="Z88" i="2"/>
  <c r="Z76" i="2"/>
  <c r="Z155" i="2"/>
  <c r="Z144" i="2"/>
  <c r="Z87" i="2"/>
  <c r="Z75" i="2"/>
  <c r="Z130" i="2"/>
  <c r="Z120" i="2"/>
  <c r="Z110" i="2"/>
  <c r="Z154" i="2"/>
  <c r="Z143" i="2"/>
  <c r="L8" i="8"/>
  <c r="K8" i="8"/>
  <c r="J8" i="8"/>
  <c r="I8" i="8"/>
  <c r="H8" i="8"/>
  <c r="AB3" i="2" l="1"/>
  <c r="H3" i="2" s="1"/>
  <c r="AB4" i="2"/>
  <c r="H4" i="2" s="1"/>
  <c r="AB5" i="2"/>
  <c r="J5" i="2" s="1"/>
  <c r="AB6" i="2"/>
  <c r="J6" i="2" s="1"/>
  <c r="AB7" i="2"/>
  <c r="I7" i="2" s="1"/>
  <c r="AB8" i="2"/>
  <c r="J8" i="2" s="1"/>
  <c r="AB9" i="2"/>
  <c r="H9" i="2" s="1"/>
  <c r="AB10" i="2"/>
  <c r="H10" i="2" s="1"/>
  <c r="AB11" i="2"/>
  <c r="J11" i="2" s="1"/>
  <c r="AB12" i="2"/>
  <c r="J12" i="2" s="1"/>
  <c r="AB13" i="2"/>
  <c r="H13" i="2" s="1"/>
  <c r="AB14" i="2"/>
  <c r="J14" i="2" s="1"/>
  <c r="AB15" i="2"/>
  <c r="I15" i="2" s="1"/>
  <c r="AB16" i="2"/>
  <c r="H16" i="2" s="1"/>
  <c r="AB17" i="2"/>
  <c r="J17" i="2" s="1"/>
  <c r="AB18" i="2"/>
  <c r="J18" i="2" s="1"/>
  <c r="AB19" i="2"/>
  <c r="J19" i="2" s="1"/>
  <c r="AB20" i="2"/>
  <c r="J20" i="2" s="1"/>
  <c r="AB21" i="2"/>
  <c r="J21" i="2" s="1"/>
  <c r="AB22" i="2"/>
  <c r="H22" i="2" s="1"/>
  <c r="AB23" i="2"/>
  <c r="J23" i="2" s="1"/>
  <c r="AB24" i="2"/>
  <c r="J24" i="2" s="1"/>
  <c r="AB25" i="2"/>
  <c r="I25" i="2" s="1"/>
  <c r="AB26" i="2"/>
  <c r="J26" i="2" s="1"/>
  <c r="AB27" i="2"/>
  <c r="J27" i="2" s="1"/>
  <c r="AB28" i="2"/>
  <c r="H28" i="2" s="1"/>
  <c r="AB29" i="2"/>
  <c r="J29" i="2" s="1"/>
  <c r="AB30" i="2"/>
  <c r="J30" i="2" s="1"/>
  <c r="AB31" i="2"/>
  <c r="J31" i="2" s="1"/>
  <c r="AB32" i="2"/>
  <c r="J32" i="2" s="1"/>
  <c r="AB33" i="2"/>
  <c r="H33" i="2" s="1"/>
  <c r="AB34" i="2"/>
  <c r="H34" i="2" s="1"/>
  <c r="AB35" i="2"/>
  <c r="J35" i="2" s="1"/>
  <c r="AB36" i="2"/>
  <c r="J36" i="2" s="1"/>
  <c r="AB37" i="2"/>
  <c r="H37" i="2" s="1"/>
  <c r="AB38" i="2"/>
  <c r="J38" i="2" s="1"/>
  <c r="I2" i="2"/>
  <c r="H25" i="2" l="1"/>
  <c r="H23" i="2"/>
  <c r="H35" i="2"/>
  <c r="H11" i="2"/>
  <c r="H15" i="2"/>
  <c r="J37" i="2"/>
  <c r="J25" i="2"/>
  <c r="J15" i="2"/>
  <c r="J13" i="2"/>
  <c r="H5" i="2"/>
  <c r="J7" i="2"/>
  <c r="J3" i="2"/>
  <c r="I37" i="2"/>
  <c r="H31" i="2"/>
  <c r="H29" i="2"/>
  <c r="H7" i="2"/>
  <c r="I3" i="2"/>
  <c r="H27" i="2"/>
  <c r="I13" i="2"/>
  <c r="H2" i="2"/>
  <c r="J2" i="2"/>
  <c r="I9" i="2"/>
  <c r="H21" i="2"/>
  <c r="H19" i="2"/>
  <c r="I31" i="2"/>
  <c r="H17" i="2"/>
  <c r="I27" i="2"/>
  <c r="J33" i="2"/>
  <c r="I21" i="2"/>
  <c r="J9" i="2"/>
  <c r="I33" i="2"/>
  <c r="I19" i="2"/>
  <c r="H38" i="2"/>
  <c r="H32" i="2"/>
  <c r="H26" i="2"/>
  <c r="H20" i="2"/>
  <c r="H14" i="2"/>
  <c r="H8" i="2"/>
  <c r="I34" i="2"/>
  <c r="I28" i="2"/>
  <c r="I22" i="2"/>
  <c r="I16" i="2"/>
  <c r="I10" i="2"/>
  <c r="I4" i="2"/>
  <c r="J34" i="2"/>
  <c r="J28" i="2"/>
  <c r="J22" i="2"/>
  <c r="J16" i="2"/>
  <c r="J10" i="2"/>
  <c r="J4" i="2"/>
  <c r="H36" i="2"/>
  <c r="H30" i="2"/>
  <c r="H24" i="2"/>
  <c r="H18" i="2"/>
  <c r="H12" i="2"/>
  <c r="H6" i="2"/>
  <c r="I38" i="2"/>
  <c r="I32" i="2"/>
  <c r="I26" i="2"/>
  <c r="I20" i="2"/>
  <c r="I14" i="2"/>
  <c r="I8" i="2"/>
  <c r="I36" i="2"/>
  <c r="I30" i="2"/>
  <c r="I24" i="2"/>
  <c r="I18" i="2"/>
  <c r="I12" i="2"/>
  <c r="I6" i="2"/>
  <c r="I35" i="2"/>
  <c r="I29" i="2"/>
  <c r="I23" i="2"/>
  <c r="I17" i="2"/>
  <c r="I11" i="2"/>
  <c r="I5" i="2"/>
  <c r="L4" i="8"/>
  <c r="L5" i="8"/>
  <c r="L6" i="8"/>
  <c r="L7" i="8"/>
  <c r="L3" i="8"/>
  <c r="K4" i="8"/>
  <c r="K5" i="8"/>
  <c r="K6" i="8"/>
  <c r="K7" i="8"/>
  <c r="K3" i="8"/>
  <c r="J4" i="8"/>
  <c r="J5" i="8"/>
  <c r="J6" i="8"/>
  <c r="J7" i="8"/>
  <c r="J3" i="8"/>
  <c r="I4" i="8"/>
  <c r="I5" i="8"/>
  <c r="I6" i="8"/>
  <c r="I7" i="8"/>
  <c r="I3" i="8"/>
  <c r="H5" i="8"/>
  <c r="H6" i="8"/>
  <c r="H7" i="8"/>
  <c r="P6" i="2"/>
  <c r="Y6" i="2"/>
  <c r="P24" i="2"/>
  <c r="Y24" i="2"/>
  <c r="P15" i="2"/>
  <c r="Y15" i="2"/>
  <c r="P18" i="2"/>
  <c r="Y18" i="2"/>
  <c r="P23" i="2"/>
  <c r="Y23" i="2"/>
  <c r="P27" i="2"/>
  <c r="Y27" i="2"/>
  <c r="P37" i="2"/>
  <c r="P38" i="2"/>
  <c r="Y37" i="2"/>
  <c r="Y38" i="2"/>
  <c r="H4" i="8"/>
  <c r="H3" i="8"/>
  <c r="Z38" i="2" l="1"/>
  <c r="Z27" i="2"/>
  <c r="Z15" i="2"/>
  <c r="Z23" i="2"/>
  <c r="Z24" i="2"/>
  <c r="Z37" i="2"/>
  <c r="Z18" i="2"/>
  <c r="Z6" i="2"/>
  <c r="P2" i="2"/>
  <c r="Y2" i="2"/>
  <c r="P3" i="2"/>
  <c r="Y3" i="2"/>
  <c r="P4" i="2"/>
  <c r="Y4" i="2"/>
  <c r="P5" i="2"/>
  <c r="Y5" i="2"/>
  <c r="P7" i="2"/>
  <c r="Y7" i="2"/>
  <c r="P8" i="2"/>
  <c r="Y8" i="2"/>
  <c r="P9" i="2"/>
  <c r="Y9" i="2"/>
  <c r="P10" i="2"/>
  <c r="Y10" i="2"/>
  <c r="P11" i="2"/>
  <c r="Y11" i="2"/>
  <c r="P12" i="2"/>
  <c r="Y12" i="2"/>
  <c r="P13" i="2"/>
  <c r="Y13" i="2"/>
  <c r="P14" i="2"/>
  <c r="Y14" i="2"/>
  <c r="P16" i="2"/>
  <c r="Y16" i="2"/>
  <c r="P17" i="2"/>
  <c r="Y17" i="2"/>
  <c r="P19" i="2"/>
  <c r="Y19" i="2"/>
  <c r="P20" i="2"/>
  <c r="Y20" i="2"/>
  <c r="P21" i="2"/>
  <c r="Y21" i="2"/>
  <c r="P22" i="2"/>
  <c r="Y22" i="2"/>
  <c r="P25" i="2"/>
  <c r="Y25" i="2"/>
  <c r="P26" i="2"/>
  <c r="Y26" i="2"/>
  <c r="P28" i="2"/>
  <c r="Y28" i="2"/>
  <c r="P29" i="2"/>
  <c r="Y29" i="2"/>
  <c r="P30" i="2"/>
  <c r="Y30" i="2"/>
  <c r="P31" i="2"/>
  <c r="Y31" i="2"/>
  <c r="P32" i="2"/>
  <c r="Y32" i="2"/>
  <c r="P33" i="2"/>
  <c r="Y33" i="2"/>
  <c r="P34" i="2"/>
  <c r="Y34" i="2"/>
  <c r="P35" i="2"/>
  <c r="Y35" i="2"/>
  <c r="P36" i="2"/>
  <c r="Y36" i="2"/>
  <c r="P39" i="2"/>
  <c r="Y39" i="2"/>
  <c r="P40" i="2"/>
  <c r="Y40" i="2"/>
  <c r="P41" i="2"/>
  <c r="Y41" i="2"/>
  <c r="P42" i="2"/>
  <c r="Y42" i="2"/>
  <c r="P43" i="2"/>
  <c r="Y43" i="2"/>
  <c r="P44" i="2"/>
  <c r="Y44" i="2"/>
  <c r="P45" i="2"/>
  <c r="Y45" i="2"/>
  <c r="P46" i="2"/>
  <c r="Y46" i="2"/>
  <c r="Z14" i="2" l="1"/>
  <c r="Z2" i="2"/>
  <c r="Z46" i="2"/>
  <c r="AB46" i="2" s="1"/>
  <c r="Z43" i="2"/>
  <c r="AB43" i="2" s="1"/>
  <c r="Z40" i="2"/>
  <c r="AB40" i="2" s="1"/>
  <c r="Z35" i="2"/>
  <c r="Z32" i="2"/>
  <c r="Z29" i="2"/>
  <c r="Z25" i="2"/>
  <c r="Z20" i="2"/>
  <c r="Z16" i="2"/>
  <c r="Z12" i="2"/>
  <c r="Z9" i="2"/>
  <c r="Z5" i="2"/>
  <c r="Z45" i="2"/>
  <c r="AB45" i="2" s="1"/>
  <c r="Z34" i="2"/>
  <c r="Z22" i="2"/>
  <c r="Z19" i="2"/>
  <c r="Z11" i="2"/>
  <c r="Z8" i="2"/>
  <c r="Z41" i="2"/>
  <c r="AB41" i="2" s="1"/>
  <c r="Z30" i="2"/>
  <c r="Z17" i="2"/>
  <c r="Z13" i="2"/>
  <c r="Z10" i="2"/>
  <c r="Z7" i="2"/>
  <c r="Z3" i="2"/>
  <c r="Z42" i="2"/>
  <c r="AB42" i="2" s="1"/>
  <c r="Z31" i="2"/>
  <c r="Z28" i="2"/>
  <c r="Z4" i="2"/>
  <c r="Z44" i="2"/>
  <c r="AB44" i="2" s="1"/>
  <c r="Z36" i="2"/>
  <c r="Z33" i="2"/>
  <c r="Z26" i="2"/>
  <c r="Z21" i="2"/>
  <c r="Z39" i="2"/>
  <c r="AB39" i="2" s="1"/>
  <c r="Y62" i="2" l="1"/>
  <c r="Y63" i="2"/>
  <c r="Y64" i="2"/>
  <c r="Y65" i="2"/>
  <c r="Y66" i="2"/>
  <c r="Y67" i="2"/>
  <c r="Y68" i="2"/>
  <c r="Y69" i="2"/>
  <c r="Y70" i="2"/>
  <c r="P62" i="2"/>
  <c r="P63" i="2"/>
  <c r="P64" i="2"/>
  <c r="P65" i="2"/>
  <c r="P66" i="2"/>
  <c r="P67" i="2"/>
  <c r="P68" i="2"/>
  <c r="P69" i="2"/>
  <c r="P70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Z56" i="2" l="1"/>
  <c r="AB56" i="2" s="1"/>
  <c r="Z50" i="2"/>
  <c r="AB50" i="2" s="1"/>
  <c r="Z65" i="2"/>
  <c r="AB65" i="2" s="1"/>
  <c r="Z61" i="2"/>
  <c r="AB61" i="2" s="1"/>
  <c r="Z55" i="2"/>
  <c r="AB55" i="2" s="1"/>
  <c r="Z49" i="2"/>
  <c r="AB49" i="2" s="1"/>
  <c r="Z70" i="2"/>
  <c r="AB70" i="2" s="1"/>
  <c r="Z64" i="2"/>
  <c r="AB64" i="2" s="1"/>
  <c r="Z57" i="2"/>
  <c r="AB57" i="2" s="1"/>
  <c r="Z51" i="2"/>
  <c r="AB51" i="2" s="1"/>
  <c r="Z66" i="2"/>
  <c r="AB66" i="2" s="1"/>
  <c r="Z60" i="2"/>
  <c r="AB60" i="2" s="1"/>
  <c r="Z69" i="2"/>
  <c r="AB69" i="2" s="1"/>
  <c r="Z53" i="2"/>
  <c r="AB53" i="2" s="1"/>
  <c r="Z62" i="2"/>
  <c r="AB62" i="2" s="1"/>
  <c r="Z54" i="2"/>
  <c r="AB54" i="2" s="1"/>
  <c r="Z48" i="2"/>
  <c r="AB48" i="2" s="1"/>
  <c r="Z63" i="2"/>
  <c r="AB63" i="2" s="1"/>
  <c r="Z59" i="2"/>
  <c r="AB59" i="2" s="1"/>
  <c r="Z47" i="2"/>
  <c r="AB47" i="2" s="1"/>
  <c r="Z68" i="2"/>
  <c r="AB68" i="2" s="1"/>
  <c r="Z58" i="2"/>
  <c r="AB58" i="2" s="1"/>
  <c r="Z52" i="2"/>
  <c r="AB52" i="2" s="1"/>
  <c r="Z67" i="2"/>
  <c r="AB67" i="2" s="1"/>
</calcChain>
</file>

<file path=xl/sharedStrings.xml><?xml version="1.0" encoding="utf-8"?>
<sst xmlns="http://schemas.openxmlformats.org/spreadsheetml/2006/main" count="1032" uniqueCount="416">
  <si>
    <t>DATA</t>
  </si>
  <si>
    <t>MESOS</t>
  </si>
  <si>
    <t>GRUP</t>
  </si>
  <si>
    <t>ESPAI</t>
  </si>
  <si>
    <t>TIPUS DE SERVEI</t>
  </si>
  <si>
    <t>LLOC DEL SERVEI</t>
  </si>
  <si>
    <t>NOM DEL SERVEI</t>
  </si>
  <si>
    <t>GESTIÓ LOGÍSTICA</t>
  </si>
  <si>
    <t>PREPARACIÓ</t>
  </si>
  <si>
    <t>PERSONAL DE RENTAT</t>
  </si>
  <si>
    <t>COMPLEMENT
RESPONSABLE EVENT</t>
  </si>
  <si>
    <t>PERSONAL SERVEI
LOGÍSTICS</t>
  </si>
  <si>
    <t>HORES SERVEI</t>
  </si>
  <si>
    <t>PERSONAL TRANSPORT
LOGÍSTICS</t>
  </si>
  <si>
    <t>HORES</t>
  </si>
  <si>
    <t>TOTAL HORES</t>
  </si>
  <si>
    <t>LLOGUER
VEHICLES</t>
  </si>
  <si>
    <t>MANTENIMENT
VEHICLES</t>
  </si>
  <si>
    <t>CAMIONS
GRAN</t>
  </si>
  <si>
    <t>KM</t>
  </si>
  <si>
    <t>CAMIONS
CUINA</t>
  </si>
  <si>
    <t>KM2</t>
  </si>
  <si>
    <t>CAMIONS
PETIT</t>
  </si>
  <si>
    <t>KM3</t>
  </si>
  <si>
    <t>TOTAL 
KM</t>
  </si>
  <si>
    <t xml:space="preserve">TOTAL COST </t>
  </si>
  <si>
    <t>FACTURACIO</t>
  </si>
  <si>
    <t>%</t>
  </si>
  <si>
    <t>PREU LOGÍSITIC</t>
  </si>
  <si>
    <t>CASAMENTS</t>
  </si>
  <si>
    <t>EXTERN</t>
  </si>
  <si>
    <t>CASAMENT</t>
  </si>
  <si>
    <t>MASIA ROSAS</t>
  </si>
  <si>
    <t>C - ANA i JOSEP M x 60 (JONA)</t>
  </si>
  <si>
    <t>EVENTS</t>
  </si>
  <si>
    <t>BANQUET</t>
  </si>
  <si>
    <t>GRÍFOLS</t>
  </si>
  <si>
    <t>E - Grifols dinar X 39 cristina</t>
  </si>
  <si>
    <t>COFFEE</t>
  </si>
  <si>
    <t>AXA</t>
  </si>
  <si>
    <t>E-AMEX coffee 250-laia</t>
  </si>
  <si>
    <t>E-AMEX coffee 250&amp;140-laia</t>
  </si>
  <si>
    <t>CODORNIU</t>
  </si>
  <si>
    <t>E - Envy</t>
  </si>
  <si>
    <t>COCTEL</t>
  </si>
  <si>
    <t>TIK TOK CODORNIU</t>
  </si>
  <si>
    <t>E - ThevenueAgency 300 cristina</t>
  </si>
  <si>
    <t>PREU HORA LOGISTIC</t>
  </si>
  <si>
    <t>Preu litre</t>
  </si>
  <si>
    <t>MUSEU MARÍTIM</t>
  </si>
  <si>
    <t>E- BCDME cena x 270 MM</t>
  </si>
  <si>
    <t>Camió</t>
  </si>
  <si>
    <t>L/KM</t>
  </si>
  <si>
    <t>TORRE AGBAR</t>
  </si>
  <si>
    <t>E- Sibaris Catering coctelx108 MM</t>
  </si>
  <si>
    <t>BRUNCH</t>
  </si>
  <si>
    <t>CASA CORBERA</t>
  </si>
  <si>
    <t>P - NATALIE x 50 afv</t>
  </si>
  <si>
    <t>POBLE ESPANYOL</t>
  </si>
  <si>
    <t>E-HB sopar CCTEL 300-laia</t>
  </si>
  <si>
    <t>GESTIÓ</t>
  </si>
  <si>
    <t>RENTAT</t>
  </si>
  <si>
    <t>LA PALOMA</t>
  </si>
  <si>
    <t>E- LAPICA sopar cctel 270-laia</t>
  </si>
  <si>
    <t>EXÒTICA</t>
  </si>
  <si>
    <t xml:space="preserve">E-EXOTICA COCKTAIL LUNCH 75 PAX AFV </t>
  </si>
  <si>
    <t>E - Grifols sopar 14 cristina</t>
  </si>
  <si>
    <t>MASIA PROPIES</t>
  </si>
  <si>
    <t>PAELLES</t>
  </si>
  <si>
    <t>MASIA ESPLUGUES</t>
  </si>
  <si>
    <t>E High Fidelity ccurs 55 MG</t>
  </si>
  <si>
    <t xml:space="preserve">SOLSONA </t>
  </si>
  <si>
    <t>E- Solsona Comunicació x 200MM</t>
  </si>
  <si>
    <t>E Graphic PKG 150 MG</t>
  </si>
  <si>
    <t>E IaG7 Mice 90 pax MG</t>
  </si>
  <si>
    <t>BUFFET</t>
  </si>
  <si>
    <t>CLOS LA PLANA</t>
  </si>
  <si>
    <t>E-PANGEA DINNER 120 PAX afv / E-ONE EVENT GALA DINNER 165 PAX AFV</t>
  </si>
  <si>
    <t>FABRICA DAMM</t>
  </si>
  <si>
    <t>E - CreativeSpirits coffee MWC 100 cristina</t>
  </si>
  <si>
    <t>SIMON</t>
  </si>
  <si>
    <t>E - Solsona com X 200 dinar MM</t>
  </si>
  <si>
    <t>LA PEDRERA</t>
  </si>
  <si>
    <t xml:space="preserve">E -euromotivation 30 gala-laia </t>
  </si>
  <si>
    <t>E - One event ccurs 140 MG</t>
  </si>
  <si>
    <t>CALÇOTADA</t>
  </si>
  <si>
    <t>MIRADOR</t>
  </si>
  <si>
    <t>E- EL TELER calçotada x 150 MM</t>
  </si>
  <si>
    <t xml:space="preserve">E-VAUS ESTUDIO COCTEL LUNCH 190PAX AFV </t>
  </si>
  <si>
    <t>E-FRIMM coffee o cctel 100-laia</t>
  </si>
  <si>
    <t>E Aggtelek cctel 250 MG</t>
  </si>
  <si>
    <t>CASA DEL MAR</t>
  </si>
  <si>
    <t xml:space="preserve">E- CSM LOTUS 250 AFV </t>
  </si>
  <si>
    <t>GO BEACH</t>
  </si>
  <si>
    <t xml:space="preserve">E-MICE AND TRAIN PAX A CONF AFV </t>
  </si>
  <si>
    <t>BROOKLING</t>
  </si>
  <si>
    <t>E-Clementina 80 coffee+dinar cristina</t>
  </si>
  <si>
    <t>MARINA PORT VELL</t>
  </si>
  <si>
    <t>E-acquera 80 cctel-laia</t>
  </si>
  <si>
    <t>CIRCUIT CATALUNYA</t>
  </si>
  <si>
    <t>E - Formua GT coffee+Lunch 50 cristina</t>
  </si>
  <si>
    <t>DFACTORY</t>
  </si>
  <si>
    <t>E- Dfactory dinar singapur x 15 MM</t>
  </si>
  <si>
    <t>CAN BOSCH</t>
  </si>
  <si>
    <t>E- Pericas x 40MM</t>
  </si>
  <si>
    <t>PARC MOTOR</t>
  </si>
  <si>
    <t>E-VOLVO CARS 40 pax afv</t>
  </si>
  <si>
    <t>CAN PARELLADA</t>
  </si>
  <si>
    <t>FOOD LOVERS</t>
  </si>
  <si>
    <t>ATMETLLER</t>
  </si>
  <si>
    <t>RESTAURANTS</t>
  </si>
  <si>
    <t>VILARS DE LA DUQUESSA</t>
  </si>
  <si>
    <t>E - VILAR DUQUESSA x 60 pax - Dinar buffet + sopar</t>
  </si>
  <si>
    <t>AT ROCA</t>
  </si>
  <si>
    <t>E - AT ROCA - 60 pax reunio i dinar</t>
  </si>
  <si>
    <t>E - HIGH FIDELITY x 79 pax - Concurs paelles - #</t>
  </si>
  <si>
    <t>PARCMOTOR</t>
  </si>
  <si>
    <t>E - PARCMOTOR - 110 pax - coctel - #</t>
  </si>
  <si>
    <t>E - GBT AMEXCO x 30 GALA</t>
  </si>
  <si>
    <t>E - MARBET x 130 pax - pool party + varis serveis</t>
  </si>
  <si>
    <t>E - AQUELANDO EVENTOS x 60pax - banquet</t>
  </si>
  <si>
    <t>DRASSANES</t>
  </si>
  <si>
    <t>E - CIMNE -W2M CORPORATE - SOPAR - 400 pax - Benvinguda + Banquet - # E2500223</t>
  </si>
  <si>
    <t>CAVES ALBET I NOYA</t>
  </si>
  <si>
    <t>E - ALBET I NOYA x 60 pax - Tast + Buffet lineal</t>
  </si>
  <si>
    <t>FONT DE LA CANYA</t>
  </si>
  <si>
    <t>C- LILY i RONNY (wp Valerie) - FC - 05:30h - 76 pax - # C2500179</t>
  </si>
  <si>
    <t>CASA PARTICULAR GAVÀ</t>
  </si>
  <si>
    <t>E - RODRIGUEZ MORALES - 50 pax - Menu mediterrani</t>
  </si>
  <si>
    <t>C - DAVID i RITIKA - CLOS- 19h - 100</t>
  </si>
  <si>
    <t>DOWNTOWN</t>
  </si>
  <si>
    <t>E - MONSTER - 21h30 - 120 pax - GALA DINNER - #</t>
  </si>
  <si>
    <t>E - ICS EVENTS - V.M.C - DINNER - 80/100 PAX - banquet- #</t>
  </si>
  <si>
    <t>E - MIREYA MUÑOZ - 60 pax - Cocktail - #</t>
  </si>
  <si>
    <t>MAS BELL</t>
  </si>
  <si>
    <t>C - NATALIA i JOAN - Mas Bell - 19:00h - 120 pax - C2500184</t>
  </si>
  <si>
    <t>GARRIGA CASTELLADRAL</t>
  </si>
  <si>
    <t>C - SARAH i ALBERT - La Garriga Castelladrall - 17:30h - 117 pax - C2500024</t>
  </si>
  <si>
    <t>C - GEMMA i PABLO - ME - 19:30h - 144 pax - C2500181</t>
  </si>
  <si>
    <t>JOSEP MASACHS</t>
  </si>
  <si>
    <t>C - NOELIA i ADRI- JM - 18:30H - 128 pax - C2500182</t>
  </si>
  <si>
    <t>C - MARIONA i JORDI - FC - 17.00h - 106 pax - C2500180</t>
  </si>
  <si>
    <t>C - SARA i MARC - MC -19:00 - 120 pax - C2500185</t>
  </si>
  <si>
    <t>C - BEATRIZ i ALEJANDRO - Clos- 15h - 100 pax - C2500183</t>
  </si>
  <si>
    <t>MAS PUJOLAR</t>
  </si>
  <si>
    <t>C - MONICA i PABLO - Mas Pujolar - 12.30h - 120 pax - C2500925</t>
  </si>
  <si>
    <t>ARBOÇ</t>
  </si>
  <si>
    <t>E - Llar de Jubilats Arboç - Entrega gastro + 2 pernilers</t>
  </si>
  <si>
    <t>TIBIDABO</t>
  </si>
  <si>
    <t>E - ICS - tibidabo - 1.500 pax - cocktail</t>
  </si>
  <si>
    <t>E - LE MONNIER Y PARTNERS x 250 pax - Cocktail</t>
  </si>
  <si>
    <t>c220826 AMELIE &amp; ORIOL</t>
  </si>
  <si>
    <t>C - JESSICA i MARCO (wp)- CASA DEL MAR- 18:30H - 100pax</t>
  </si>
  <si>
    <t>C - CLAUDIA i BLAS - FC- 17:00H - 260pax - # C2500186</t>
  </si>
  <si>
    <t>C - GIADA i TELMO (wp)- MC- 18:30H - 97 pax - # C2500187</t>
  </si>
  <si>
    <t>TARRACO</t>
  </si>
  <si>
    <t>FL concert MAKA</t>
  </si>
  <si>
    <t>C - DANIELA i ALEX - JM - 19h - 110 pax - # C2500189</t>
  </si>
  <si>
    <t>MAS TERRATS</t>
  </si>
  <si>
    <t>C - PAULA i SVEN- Mas Terrats - 15.30h - 114pax - # C2500191</t>
  </si>
  <si>
    <t>CASA ORDAL</t>
  </si>
  <si>
    <t>E - MONTSE TRES - Casa Ordal - 50 pax - DINAR - #E2500025</t>
  </si>
  <si>
    <t>C - ROSA i THOMAS - FC - 18:30h - 122 pax - #C2500039</t>
  </si>
  <si>
    <t>C - CRISTINA i FERRAN - CLOS - 18.30h - 74 pax - #C2500188</t>
  </si>
  <si>
    <t>JARDINS MARIMURTRA</t>
  </si>
  <si>
    <t>C - ADRIÀ i THIBAUT - MARIMURTRA - 19:00 - 36 pax</t>
  </si>
  <si>
    <t>C - SANDRA i SERGIO - La Garriga Castelladrall - 17.00h - 110 pax</t>
  </si>
  <si>
    <t>C - RUTH i ALEX - MC - 18:00h - 141 pax - #C2500190</t>
  </si>
  <si>
    <t>TERRAZA MIRAMAR</t>
  </si>
  <si>
    <t>E - CITI TRAVEL x 100 pax - Cocktail - E2500168</t>
  </si>
  <si>
    <t>E - VILAR - pacifico novartis x 50</t>
  </si>
  <si>
    <t>FIRA GRAN VIA</t>
  </si>
  <si>
    <t>E - WANJIE Europe S.L x 100 pax</t>
  </si>
  <si>
    <t>DERMOFARMA</t>
  </si>
  <si>
    <t>E - UAY EVENTS (DERMOFARM - SENSILIS) - copa bienv. + cocktail x 90 pax</t>
  </si>
  <si>
    <t>E - SPAIN ON - MIRADOR CAVES - 18H40 - 62pax + 2 staff- Concurs paelles - #</t>
  </si>
  <si>
    <t>E - SANSON Y DALILA - MPV - 12H - 30 pax - coffee + cocktail</t>
  </si>
  <si>
    <t>E - MUNDITRAVEL - DRASSANES - 20h00 - 250 pax - SOPAR GALA - #</t>
  </si>
  <si>
    <t>MALGRAT DE MAR</t>
  </si>
  <si>
    <t>E - MARBET - MALGRAT DE MAR - 11H - cock.+ coffee x 80 pax</t>
  </si>
  <si>
    <t>LIDL</t>
  </si>
  <si>
    <t>E - BST ref LIDL - MARTORELL - 13h00 - 350 pax - #</t>
  </si>
  <si>
    <t>E- Labelexpo ref. SPANDE BUFFET: beguda+snacks il·limitats / dinar 170pax(16,17,18) i 100pax (19)</t>
  </si>
  <si>
    <t>TORRE BELLESGUARD</t>
  </si>
  <si>
    <t>E - TALISMAN - TORRE BELLESGUARD - 18H - 25+2 pax - apero potent + Banquet - #</t>
  </si>
  <si>
    <t>FUNDACIÓ MIRÓ</t>
  </si>
  <si>
    <t>E - TAGHLEEF - FUND MIRO - 19H00 - 70 PAX - COCTEL - #</t>
  </si>
  <si>
    <t>E - GRIFOLS - ST CUGAT - 19H30 - 25 pax - #</t>
  </si>
  <si>
    <t>FL - CAIXABANK - TAP - 11h30 - 30 pax</t>
  </si>
  <si>
    <t>SANT SADURNÍ</t>
  </si>
  <si>
    <t>E - EL CAFE DEL RAVAL - 19H00 ?</t>
  </si>
  <si>
    <t>CERCLE D'ECONOMIA</t>
  </si>
  <si>
    <t>E - NEBEXT - 100 pax - 14h00 - CHEERS - #</t>
  </si>
  <si>
    <t>AUDITORI MGS</t>
  </si>
  <si>
    <t>E - MICE GLOBAL x 200 pax - coffee + cocktail</t>
  </si>
  <si>
    <t>HOSPITAL ESPLUGUES</t>
  </si>
  <si>
    <t>E - LLYC - VITHAS HOSP. esplugues lL. - 10h30 - 120 pax</t>
  </si>
  <si>
    <t>FREIXENET</t>
  </si>
  <si>
    <t>E - FREIXENET - 19h30 - 85 + 5 staff - BANQUET - #</t>
  </si>
  <si>
    <t>ESAGRAF</t>
  </si>
  <si>
    <t>E - ESAGRAF - ST QUIRZE DEL VALLÈS - 19H - 170 PAX - #</t>
  </si>
  <si>
    <t>E - NITIDA WEDDINGS - 18H00 - 161 (158 adults i 3 nens) + 1 STAFF NITIDIA WEDDINGS (Carla) + 4 STAFF FUNDACIÓ - COCK. - #</t>
  </si>
  <si>
    <t>ACB - OFF SUNSET Font de la Canya - 19h00 - (col·laboració Fiero)</t>
  </si>
  <si>
    <t>ELYSSIA</t>
  </si>
  <si>
    <t>E - IBEROTEAM - Elyssia - 180 pax</t>
  </si>
  <si>
    <t>E - STICHTING EVDI - Codorniu - 19h00 - 510 pax - # E2500161</t>
  </si>
  <si>
    <t>BIOIBERICA</t>
  </si>
  <si>
    <t>E - BMC - PALAFOLLS - BIOIBERICA - 13H30 - 400+400 family day bioiberica - #</t>
  </si>
  <si>
    <t>C - VICKY i SERGI - FC - ??? - 120 - C2500193</t>
  </si>
  <si>
    <t>C - SILVIA i DAVID - ME - 13:00h - 87 - C2500197</t>
  </si>
  <si>
    <t>C - MAGALÍ &amp; CARLOS - JM - 19h30 - 123ad+4staff - C2500198</t>
  </si>
  <si>
    <t>C - ISAAC i CATHY- TCP - 18.00h - 100 - C2500195</t>
  </si>
  <si>
    <t>C - EDU i XAVI- MC - 18:30h - 102 PAX - C2500196</t>
  </si>
  <si>
    <t>C - CRISTINA i JORDI - CLOS - 17.30h - 125 - C2500194</t>
  </si>
  <si>
    <t>FL concert Amaral</t>
  </si>
  <si>
    <t>E - FACTOR - FDC - 19H30 - 140+8 staff - - banquet</t>
  </si>
  <si>
    <t>E - IAPPA - TIBIDABO - 18H30 - 1.300 pax - Còctel - #</t>
  </si>
  <si>
    <t>E - TPC ref. VW - CASA DEL MAR - 11h30 - 160 pax - cof+cocktail - # E2500442</t>
  </si>
  <si>
    <t>LLOTJA DE MAR</t>
  </si>
  <si>
    <t>E - THE SUMAIRA MCI OVATION - Llotja de Mar - 19h00 - 150 pax - coct. Benèfic - #</t>
  </si>
  <si>
    <t>E - Painovate NV x 50 pax - gala buffet</t>
  </si>
  <si>
    <t>RECINTE MODERNISTA</t>
  </si>
  <si>
    <t>E - MT GLOBAL cocktail 4 x 190 vips</t>
  </si>
  <si>
    <t>E - BACUS - ME - 19h00 - 80 PAX - CONCURS PAELLES 80PAX</t>
  </si>
  <si>
    <t>E - MEDKOM Sanofi-Aventis x 100 pax - regional buffet</t>
  </si>
  <si>
    <t>JUVE I CAMPS</t>
  </si>
  <si>
    <t>E - JUVE &amp; CAMPS x 60 pax - banquet + coffee</t>
  </si>
  <si>
    <t>E - CONGREX x 200 pax - banquet + festa 500</t>
  </si>
  <si>
    <t>E - GENCAT x 50 regio gastronomica - sopra cok.</t>
  </si>
  <si>
    <t>WURTH</t>
  </si>
  <si>
    <t>E - MARBET - 139 pax+10staff + 11 picnics + 1 presentadora - # - cheers + banquet</t>
  </si>
  <si>
    <t>E - LABBOX - MPV - 17h30 - 124 pax - Còctel - #</t>
  </si>
  <si>
    <t>CAN MARINÉ</t>
  </si>
  <si>
    <t>C - MJ &amp; OMAR - CAN MARINÉ - 14:30h - 77 pax - C2500157</t>
  </si>
  <si>
    <t>C - ALBA i SERGI - JM - 19:00h - 99 pax - C2500199</t>
  </si>
  <si>
    <t>C - ESTHER i JORDI - CLOS - 18.30h - 135 pax - C2500202</t>
  </si>
  <si>
    <t>C - MARIA i ELOI - FC - 18.30h - 200 pax - C2500200</t>
  </si>
  <si>
    <t>SANT GREGORI</t>
  </si>
  <si>
    <t>C-YOLANDA i MARC - CASTELL SANT GREGORI - 12h - 72 pax - C2500095</t>
  </si>
  <si>
    <t>C - ZOE i CRISTIAN - JM - 18:00h - 98 pax - C2500203</t>
  </si>
  <si>
    <t>PARC SAMÀ</t>
  </si>
  <si>
    <t>C - MELISSA i JAVI - PS- 13:00 - 80 pax - C2500201</t>
  </si>
  <si>
    <t>ROVIRA ROJA</t>
  </si>
  <si>
    <t>C - JORDI i HELENA - CASA PART ROVIRA ROJA - ?? - 100 pax - C2500098</t>
  </si>
  <si>
    <t>C - JANIRA i EDUARD · VILAR · 14:00h · 177 pax</t>
  </si>
  <si>
    <t>E - DFACTORY ref. BNEW - Consorci Zona Franca - 118h00 - 100/150 pax - TARDEO 29+30SEP I 02OCT</t>
  </si>
  <si>
    <t>E - TARRACO ARENA x 1100 pax - banquet gran format</t>
  </si>
  <si>
    <t>AUDITORI ILLA</t>
  </si>
  <si>
    <t>E - TALISMAN - Audit ILLA - 21h00 - 150 pax - coct - #</t>
  </si>
  <si>
    <t>CASA DE LES PUNXES</t>
  </si>
  <si>
    <t>E - BMC Global - coffee x 25 pax</t>
  </si>
  <si>
    <t>CASTELL EMPORDÀ</t>
  </si>
  <si>
    <t>E - ALEA - HOTEL CASTELL L'EMPORDÀ - 20h30 - 87 pax - #</t>
  </si>
  <si>
    <t>AFFINITY</t>
  </si>
  <si>
    <t>B - AFFINITY - Masquefa - 08h15 + 13h30 - 21pax - #</t>
  </si>
  <si>
    <t>E - DFACTORY ref BNEW DFactory - 20h30 - 250 pax - SOPAR PARADETES - #</t>
  </si>
  <si>
    <t>PM ref. ROMAN - ME - 13H30 - 6 pax - 13h30'</t>
  </si>
  <si>
    <t>E - PIMEC - Carrer Viladomat BCN - 19h00 - 80 pax - Cheers - #</t>
  </si>
  <si>
    <t>E - AQUARIUM BCN - 19h30 - 150 pax - Cocktail - #</t>
  </si>
  <si>
    <t>E - AMETLLER - Vinseum - 18h30 - 100 pax - coffee - #</t>
  </si>
  <si>
    <t>E - SOLEAR EVENTS - Col·legi Advocacia BCN - 20h00 - 70 pax - E2500090</t>
  </si>
  <si>
    <t>E - SALERM - La Galeria, BCN - 17h00 - 60 pax - #</t>
  </si>
  <si>
    <t>E - CWT - Ref. Accenture - TBD - 1.175 pax - #</t>
  </si>
  <si>
    <t>E - BMC Global - Ca n'Oliveres, Martorell - 10 h00 - 250 pax - Coffee + Còctel</t>
  </si>
  <si>
    <t>E - SOLEAR EVENTS - Codorniu - 21h00 - 74 pax - Catalan menu</t>
  </si>
  <si>
    <t>C- JULIANA i FERNANDO - JM - 12.30H - 70 pax - C2500104</t>
  </si>
  <si>
    <t>C - ANGELA i NANO - CLOS - 19:30h - 140 pax</t>
  </si>
  <si>
    <t>E - MARINA 92 - 18h30 - 250 pax - Cheers - #</t>
  </si>
  <si>
    <t>C - ALICIA i ADRIÀ - FC - 14.30H - 70 pax - C2500206</t>
  </si>
  <si>
    <t>C - LORNA i LEANDRO - MAS REDORTRA - 13:45h - 60 pax</t>
  </si>
  <si>
    <t>C - MARINA i ALVARO - JM - 12.30H - 129pax - C2500205</t>
  </si>
  <si>
    <t>C - MARTA i MARC- Casa de Colonies Ridolaina - 12:30h - 140 pax - C2500140</t>
  </si>
  <si>
    <t>C - MARTA i PAU - Castell Sr.Martí Sarroca - 14:00h - 137 pax - C2500040</t>
  </si>
  <si>
    <t>C - MIGUEL i CORINNE - CLOS - 18:30h - 115 pax - C2500204</t>
  </si>
  <si>
    <t>E - GRUP RIC x 100 pax - cof + cocktail</t>
  </si>
  <si>
    <t>C - SILVIA i JOSEP - TCP - 18:00h - 125 pax - C2500207</t>
  </si>
  <si>
    <t>CASA COLONIES RIDOLAINA</t>
  </si>
  <si>
    <t>C - MARTA i MARC - CASA COLÒNIES RIDOLAINA - 14:30h + 143 PAX - C2500140</t>
  </si>
  <si>
    <t>FL BUSTAMANTE -TAP</t>
  </si>
  <si>
    <t>E - AJ. AVINYONET PDES - FDC - 400/500 pax</t>
  </si>
  <si>
    <t>CUADRAT VALLEY</t>
  </si>
  <si>
    <t>E - CUADRAT VALLEY - L'albergés Lleida 12h30 x 50 dinar + copes</t>
  </si>
  <si>
    <t>E - EANM CONGRESS MANAGEMENT x 400 pax - cocktail</t>
  </si>
  <si>
    <t>Etiquetas de fila</t>
  </si>
  <si>
    <t xml:space="preserve"> TOTAL COST </t>
  </si>
  <si>
    <t xml:space="preserve"> PREPARACIÓ</t>
  </si>
  <si>
    <t>% PREPARACIÓ&amp;TOTAL COST</t>
  </si>
  <si>
    <t xml:space="preserve"> GESTIÓ LOGÍSTICA</t>
  </si>
  <si>
    <t xml:space="preserve"> % GESTIÓ &amp; TOTAL COST</t>
  </si>
  <si>
    <t xml:space="preserve"> PERSONAL DE RENTAT</t>
  </si>
  <si>
    <t>% RENTAT &amp; TOTAL COST</t>
  </si>
  <si>
    <t xml:space="preserve"> TOTAL HORES</t>
  </si>
  <si>
    <t xml:space="preserve"> IMPORT HORES EVENT</t>
  </si>
  <si>
    <t xml:space="preserve">  % IMPORT EVENTS &amp; TOTAL COST</t>
  </si>
  <si>
    <t>Total general</t>
  </si>
  <si>
    <t>(Todas)</t>
  </si>
  <si>
    <t xml:space="preserve"> FACTURACIO</t>
  </si>
  <si>
    <t xml:space="preserve"> % LOG&amp;FACT</t>
  </si>
  <si>
    <t>Cost Perparacio</t>
  </si>
  <si>
    <t>Suma de % COST</t>
  </si>
  <si>
    <t>falta numero de pax</t>
  </si>
  <si>
    <t>19TH HOLE</t>
  </si>
  <si>
    <t>BLAYET</t>
  </si>
  <si>
    <t>ACLAM</t>
  </si>
  <si>
    <t>AGO GRANOLLERS</t>
  </si>
  <si>
    <t>ALIMENTARIA</t>
  </si>
  <si>
    <t>AQUARIUM</t>
  </si>
  <si>
    <t>COPA DE CAVA</t>
  </si>
  <si>
    <t>ASTORIA</t>
  </si>
  <si>
    <t>FAMILY DAY</t>
  </si>
  <si>
    <t>FIRA</t>
  </si>
  <si>
    <t>PARADETES</t>
  </si>
  <si>
    <t>CAIXABANK</t>
  </si>
  <si>
    <t>CAMBRA BCN</t>
  </si>
  <si>
    <t>BARBACOA</t>
  </si>
  <si>
    <t>CASA BATLLÓ</t>
  </si>
  <si>
    <t>Preparador en funcio del  tipus de servei</t>
  </si>
  <si>
    <t>CASTELL PENYAFORT</t>
  </si>
  <si>
    <t>Rentador en funcionumero de pax i serveis</t>
  </si>
  <si>
    <t>CAVES LLOPART</t>
  </si>
  <si>
    <t>CLINICA PLANES</t>
  </si>
  <si>
    <t>CONVENT DELS ANGELS</t>
  </si>
  <si>
    <t>CORNELLÀ</t>
  </si>
  <si>
    <t>DAMM</t>
  </si>
  <si>
    <t>ELS CASSOTS</t>
  </si>
  <si>
    <t>ESPIELLS</t>
  </si>
  <si>
    <t>EXOTICA</t>
  </si>
  <si>
    <t>FANUC</t>
  </si>
  <si>
    <t>FC BARCELONA</t>
  </si>
  <si>
    <t>FCB</t>
  </si>
  <si>
    <t>FIRA PESCAPUERTA</t>
  </si>
  <si>
    <t>FORUM GIRONA</t>
  </si>
  <si>
    <t>FUNDACIÓ TÀPIES</t>
  </si>
  <si>
    <t>GESTAMP</t>
  </si>
  <si>
    <t>GRIFOLS</t>
  </si>
  <si>
    <t>GRÍFOLS ST. CUGAT</t>
  </si>
  <si>
    <t>HOSPITAL SANT PAU</t>
  </si>
  <si>
    <t>HOSPITAL SITGES</t>
  </si>
  <si>
    <t>JUNO</t>
  </si>
  <si>
    <t>JUVE i CAMPS</t>
  </si>
  <si>
    <t>LA CAPELLA</t>
  </si>
  <si>
    <t>MAS COLOM</t>
  </si>
  <si>
    <t>MAS DE LA RIERA</t>
  </si>
  <si>
    <t>MEDIAPRO</t>
  </si>
  <si>
    <t>MUSEU BLAU</t>
  </si>
  <si>
    <t>MUSEU PICASSO</t>
  </si>
  <si>
    <t>NAUTIC</t>
  </si>
  <si>
    <t>PARTICULAR DE SITGES</t>
  </si>
  <si>
    <t>PLAU OLIMPIC</t>
  </si>
  <si>
    <t>PORT VELL</t>
  </si>
  <si>
    <t>RAVENTOS I BLANC</t>
  </si>
  <si>
    <t>REVLON</t>
  </si>
  <si>
    <t>TARRACO BOXE</t>
  </si>
  <si>
    <t>TARRACO CARNESTOLTES</t>
  </si>
  <si>
    <t>TARRACO FREESTLYLE</t>
  </si>
  <si>
    <t>TECH BCN PIER 01</t>
  </si>
  <si>
    <t>TITUS BADALONA</t>
  </si>
  <si>
    <t>TORRE COLON</t>
  </si>
  <si>
    <t>TORREBELLESGUARD</t>
  </si>
  <si>
    <t>VINSEUM</t>
  </si>
  <si>
    <t>MERCABARNA</t>
  </si>
  <si>
    <t>MASIA FORELLACHS</t>
  </si>
  <si>
    <t>BARCELONA</t>
  </si>
  <si>
    <t>COLEGI INFERMERIA</t>
  </si>
  <si>
    <t>J&amp;C ESPIELLS</t>
  </si>
  <si>
    <t>CAN VITAL</t>
  </si>
  <si>
    <t>EL MONTANYÀ</t>
  </si>
  <si>
    <t>CASA VELLA</t>
  </si>
  <si>
    <t>GRÍFOLS  SANT CUGAT</t>
  </si>
  <si>
    <t>GRÍFOLS PARETS</t>
  </si>
  <si>
    <t>MAS CABANYES</t>
  </si>
  <si>
    <t>CINES DIAGONAL</t>
  </si>
  <si>
    <t>IGUALADA</t>
  </si>
  <si>
    <t>VENDRELL</t>
  </si>
  <si>
    <t>TORREBLANCA</t>
  </si>
  <si>
    <t>GRANOLLERS</t>
  </si>
  <si>
    <t>GRÍFOLS SANT CUGAT</t>
  </si>
  <si>
    <t>BORSA BCN</t>
  </si>
  <si>
    <t xml:space="preserve">UB CENTRAL </t>
  </si>
  <si>
    <t>AUGUSTUS</t>
  </si>
  <si>
    <t>MASIA EGARA</t>
  </si>
  <si>
    <t>SALLE BONANOVA</t>
  </si>
  <si>
    <t>CAN LLEÓ</t>
  </si>
  <si>
    <t>CIM BCN</t>
  </si>
  <si>
    <t>CAN SUMOI</t>
  </si>
  <si>
    <t>TNC JARDINS</t>
  </si>
  <si>
    <t>PAVELLÓ CORNELLÀ</t>
  </si>
  <si>
    <t>JEAN LEON</t>
  </si>
  <si>
    <t>CAN FARRES</t>
  </si>
  <si>
    <t>BCN</t>
  </si>
  <si>
    <t>MAS GROC</t>
  </si>
  <si>
    <t>CAVES ROVELLATS</t>
  </si>
  <si>
    <t>CASA VICENS</t>
  </si>
  <si>
    <t>EL NAUTIC</t>
  </si>
  <si>
    <t>COFRADIA DEL CAVA</t>
  </si>
  <si>
    <t>TEKNON</t>
  </si>
  <si>
    <t>SANT BOI</t>
  </si>
  <si>
    <t>CULLERE I SALA</t>
  </si>
  <si>
    <t>VALLFORMOSA</t>
  </si>
  <si>
    <t>MARIMURTRA</t>
  </si>
  <si>
    <t>CASTELLBISBAL</t>
  </si>
  <si>
    <t>VILARNAU</t>
  </si>
  <si>
    <t>MASIA ROSES</t>
  </si>
  <si>
    <t>(en blanco)</t>
  </si>
  <si>
    <t>SANT PAUL SCHOOL</t>
  </si>
  <si>
    <t>PARC SAMA</t>
  </si>
  <si>
    <t>CASTELLCIUTAT</t>
  </si>
  <si>
    <t>MAS ROSSET</t>
  </si>
  <si>
    <t>FIRA BARCELONA</t>
  </si>
  <si>
    <t>COL.LEGI INFERMERS</t>
  </si>
  <si>
    <t>GERMANS BOADA</t>
  </si>
  <si>
    <t>EL MUNT</t>
  </si>
  <si>
    <t>MAS CASANOVAS</t>
  </si>
  <si>
    <t>SEU MAIEUTIKE</t>
  </si>
  <si>
    <t xml:space="preserve">Suma de TOTAL COST 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</si>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</sst>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0" xfId="0" applyFont="1"/>
    <xf numFmtId="0" fontId="0" fillId="0" borderId="4" xfId="0" applyBorder="1"/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4" xfId="0" pivotButton="1" applyBorder="1"/>
    <xf numFmtId="164" fontId="0" fillId="0" borderId="4" xfId="0" applyNumberFormat="1" applyBorder="1" applyAlignment="1">
      <alignment horizontal="center"/>
    </xf>
    <xf numFmtId="17" fontId="0" fillId="0" borderId="4" xfId="0" applyNumberFormat="1" applyBorder="1" applyAlignment="1">
      <alignment horizontal="left"/>
    </xf>
    <xf numFmtId="9" fontId="0" fillId="0" borderId="0" xfId="1" applyFont="1"/>
    <xf numFmtId="0" fontId="1" fillId="0" borderId="4" xfId="0" applyFont="1" applyBorder="1"/>
    <xf numFmtId="165" fontId="0" fillId="0" borderId="4" xfId="1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14" fontId="0" fillId="5" borderId="11" xfId="0" applyNumberFormat="1" applyFill="1" applyBorder="1" applyAlignment="1">
      <alignment horizontal="center" vertical="center"/>
    </xf>
    <xf numFmtId="17" fontId="0" fillId="5" borderId="4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6" fontId="1" fillId="5" borderId="4" xfId="0" applyNumberFormat="1" applyFont="1" applyFill="1" applyBorder="1" applyAlignment="1">
      <alignment horizontal="center"/>
    </xf>
    <xf numFmtId="10" fontId="0" fillId="5" borderId="7" xfId="0" applyNumberFormat="1" applyFill="1" applyBorder="1" applyAlignment="1">
      <alignment horizontal="center"/>
    </xf>
    <xf numFmtId="17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5" borderId="11" xfId="0" applyNumberFormat="1" applyFill="1" applyBorder="1"/>
    <xf numFmtId="14" fontId="0" fillId="0" borderId="11" xfId="0" applyNumberFormat="1" applyBorder="1"/>
    <xf numFmtId="2" fontId="0" fillId="0" borderId="4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4" fillId="0" borderId="4" xfId="0" applyFont="1" applyBorder="1"/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164" fontId="1" fillId="5" borderId="4" xfId="0" applyNumberFormat="1" applyFont="1" applyFill="1" applyBorder="1"/>
    <xf numFmtId="164" fontId="1" fillId="0" borderId="4" xfId="0" applyNumberFormat="1" applyFont="1" applyBorder="1"/>
    <xf numFmtId="0" fontId="0" fillId="5" borderId="13" xfId="0" applyFill="1" applyBorder="1"/>
    <xf numFmtId="0" fontId="1" fillId="0" borderId="4" xfId="0" applyFont="1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6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65" fontId="0" fillId="0" borderId="0" xfId="0" applyNumberFormat="1"/>
    <xf numFmtId="0" fontId="0" fillId="5" borderId="5" xfId="0" applyFill="1" applyBorder="1" applyAlignment="1">
      <alignment horizontal="center"/>
    </xf>
    <xf numFmtId="164" fontId="0" fillId="0" borderId="4" xfId="0" applyNumberFormat="1" applyBorder="1"/>
    <xf numFmtId="44" fontId="0" fillId="0" borderId="4" xfId="0" applyNumberFormat="1" applyBorder="1"/>
    <xf numFmtId="0" fontId="0" fillId="0" borderId="4" xfId="0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4" xfId="0" applyNumberFormat="1" applyBorder="1"/>
    <xf numFmtId="4" fontId="0" fillId="0" borderId="4" xfId="0" applyNumberFormat="1" applyBorder="1"/>
    <xf numFmtId="0" fontId="0" fillId="0" borderId="0" xfId="0" applyAlignment="1">
      <alignment horizontal="center"/>
    </xf>
    <xf numFmtId="10" fontId="0" fillId="0" borderId="0" xfId="0" applyNumberFormat="1"/>
    <xf numFmtId="14" fontId="0" fillId="5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6" fontId="0" fillId="0" borderId="0" xfId="0" applyNumberFormat="1"/>
    <xf numFmtId="0" fontId="1" fillId="0" borderId="3" xfId="0" applyFont="1" applyBorder="1"/>
    <xf numFmtId="14" fontId="0" fillId="0" borderId="11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 vertical="center"/>
    </xf>
    <xf numFmtId="17" fontId="1" fillId="0" borderId="0" xfId="0" applyNumberFormat="1" applyFont="1"/>
    <xf numFmtId="2" fontId="0" fillId="5" borderId="4" xfId="0" applyNumberForma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/>
    </xf>
    <xf numFmtId="164" fontId="1" fillId="5" borderId="5" xfId="0" applyNumberFormat="1" applyFont="1" applyFill="1" applyBorder="1"/>
    <xf numFmtId="0" fontId="0" fillId="5" borderId="15" xfId="0" applyFill="1" applyBorder="1"/>
    <xf numFmtId="0" fontId="0" fillId="0" borderId="16" xfId="0" applyBorder="1" applyAlignment="1">
      <alignment horizontal="center"/>
    </xf>
    <xf numFmtId="6" fontId="1" fillId="5" borderId="7" xfId="0" applyNumberFormat="1" applyFont="1" applyFill="1" applyBorder="1" applyAlignment="1">
      <alignment horizontal="center"/>
    </xf>
    <xf numFmtId="6" fontId="1" fillId="5" borderId="6" xfId="0" applyNumberFormat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right" vertical="center" wrapText="1"/>
    </xf>
    <xf numFmtId="14" fontId="0" fillId="5" borderId="12" xfId="0" applyNumberFormat="1" applyFill="1" applyBorder="1" applyAlignment="1">
      <alignment horizontal="right" vertical="center" wrapText="1"/>
    </xf>
    <xf numFmtId="0" fontId="1" fillId="5" borderId="14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67">
    <dxf>
      <numFmt numFmtId="164" formatCode="#,##0.00\ &quot;€&quot;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\ &quot;€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#,##0\ &quot;€&quot;;[Red]\-#,##0\ &quot;€&quot;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</dxf>
    <dxf>
      <numFmt numFmtId="14" formatCode="0.00%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[Cost de Servei.xlsx]Resum !TablaDinámica2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38100" bIns="19050" spcCol="108000" anchor="t" anchorCtr="0">
              <a:no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7159167226326392E-3"/>
              <c:y val="-1.55464128470544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38100" bIns="19050" spcCol="108000" anchor="t" anchorCtr="0">
              <a:no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9872397582269981E-2"/>
                  <c:h val="3.4723442348803035E-2"/>
                </c:manualLayout>
              </c15:layout>
              <c15:showDataLabelsRang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9545556301768511E-3"/>
              <c:y val="-1.92043923404789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38100" bIns="19050" spcCol="108000" anchor="t" anchorCtr="0">
              <a:no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4349675397358406E-2"/>
                  <c:h val="3.1065462855378465E-2"/>
                </c:manualLayout>
              </c15:layout>
              <c15:showDataLabelsRange val="1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7159167226326401E-3"/>
              <c:y val="-2.74348462006842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38100" bIns="19050" spcCol="108000" anchor="t" anchorCtr="0">
              <a:no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1663308708305353E-2"/>
                  <c:h val="2.5578493615241615E-2"/>
                </c:manualLayout>
              </c15:layout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984105663756434E-2"/>
              <c:y val="-2.652035132732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38100" bIns="19050" spcCol="108000" anchor="t" anchorCtr="0">
              <a:no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5245130960376091E-2"/>
                  <c:h val="2.3749503868529337E-2"/>
                </c:manualLayout>
              </c15:layout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7.1636445041414823E-3"/>
              <c:y val="-1.6460907720410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7.1636445041414823E-3"/>
              <c:y val="-1.6460907720410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268188941123797E-3"/>
              <c:y val="-2.19478769605473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6863666890530559E-3"/>
              <c:y val="-1.6460907720410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6863666890529245E-3"/>
              <c:y val="-1.0973938480273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4772778150884264E-3"/>
              <c:y val="-1.46319179736982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3727333781060458E-3"/>
              <c:y val="-1.0973938480273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7909111260353376E-3"/>
              <c:y val="-9.144948733561414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9545556301755388E-4"/>
              <c:y val="-1.46319179736982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3727333781059799E-3"/>
              <c:y val="-1.28029282269861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4.4772778150884264E-3"/>
              <c:y val="-1.6460907720410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20"/>
        <c:spPr>
          <a:solidFill>
            <a:srgbClr val="00B050"/>
          </a:solidFill>
          <a:ln>
            <a:noFill/>
          </a:ln>
          <a:effectLst/>
          <a:sp3d/>
        </c:spPr>
        <c:dLbl>
          <c:idx val="0"/>
          <c:layout>
            <c:manualLayout>
              <c:x val="5.3727333781061117E-3"/>
              <c:y val="-1.46319179736982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21"/>
        <c:spPr>
          <a:solidFill>
            <a:srgbClr val="00B050"/>
          </a:solidFill>
          <a:ln>
            <a:noFill/>
          </a:ln>
          <a:effectLst/>
          <a:sp3d/>
        </c:spPr>
        <c:dLbl>
          <c:idx val="0"/>
          <c:layout>
            <c:manualLayout>
              <c:x val="5.3727333781061117E-3"/>
              <c:y val="-5.486969240136849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22"/>
        <c:spPr>
          <a:solidFill>
            <a:srgbClr val="00B050"/>
          </a:solidFill>
          <a:ln>
            <a:noFill/>
          </a:ln>
          <a:effectLst/>
          <a:sp3d/>
        </c:spPr>
        <c:dLbl>
          <c:idx val="0"/>
          <c:layout>
            <c:manualLayout>
              <c:x val="3.5818222520706752E-3"/>
              <c:y val="-9.144948733561414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23"/>
        <c:spPr>
          <a:solidFill>
            <a:srgbClr val="00B050"/>
          </a:solidFill>
          <a:ln>
            <a:noFill/>
          </a:ln>
          <a:effectLst/>
          <a:sp3d/>
        </c:spPr>
        <c:dLbl>
          <c:idx val="0"/>
          <c:layout>
            <c:manualLayout>
              <c:x val="5.3727333781060788E-3"/>
              <c:y val="-1.6460907720410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2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  <c15:showDataLabelsRange val="1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359781121751026E-3"/>
              <c:y val="-1.28029282269859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DE0DF8E5-7077-4D3E-A8F5-3DD475330783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7.2959416324669402E-3"/>
              <c:y val="-1.646090772041057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3C86DB4E-D2BE-4209-8DF6-B44C63B73016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4719562243502051E-3"/>
              <c:y val="-1.28029282269859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16EF7F5-EEEB-432D-8861-F9BE4208FA85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8239854081167016E-3"/>
              <c:y val="-3.840878468095794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46A251A4-2BC3-41B4-8E59-FCCE9A6ED68F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536E-3"/>
              <c:y val="-1.097393848027369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A3263C7A-1162-400C-B636-50A0B1BFCC22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4719562243502051E-3"/>
              <c:y val="-9.1449487335615483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A16345BA-35B2-4E68-AE12-F44B0BA7FE9F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4719562243500715E-3"/>
              <c:y val="-9.1449487335615483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78A62EE4-A608-47BE-95C7-B597293723D2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033E-3"/>
              <c:y val="-1.097393848027369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FDD2A95-8188-4655-B1A1-DE29DB6F41FF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4719562243502389E-3"/>
              <c:y val="-5.4869692401368492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9F0782A1-95D5-4B32-922A-A3E4C7B64EE1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701E-3"/>
              <c:y val="-9.1449487335615483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10B70748-127B-4534-BC14-4C7CA706E6CB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8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701E-3"/>
              <c:y val="-5.4869692401368492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B06B9F8B-B569-4FAA-AF03-817AB054E451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9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2.7359781121751026E-3"/>
              <c:y val="-1.28029282269859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0171067D-862E-4A1C-8F3E-BCB0350BD21E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0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701E-3"/>
              <c:y val="-5.486969240136982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BD1D3DEB-2C28-42E7-AB01-D186543F08E1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1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701E-3"/>
              <c:y val="-1.828989746712283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6706EC3-2CA9-4869-9B00-D65898938149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2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9.1199270405836752E-4"/>
              <c:y val="-1.463191797369826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76ED737-47E7-46BC-BE59-7285A46CE04D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3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1.823985408116735E-3"/>
              <c:y val="-1.097393848027369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9428FEDB-BE6E-4C55-95B6-FD520B132CD8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4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701E-3"/>
              <c:y val="-9.144948733561414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355EB0C7-2257-4207-9F65-78913253055F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5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2.7359781121751026E-3"/>
              <c:y val="-5.4869692401368492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0C155E7-175E-463A-B7A1-8F68D8D67A60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9.1199270405833413E-4"/>
              <c:y val="-7.315958986849131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3370B2F-8944-45B3-9994-6A2EA5690399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7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8.2079343365253077E-3"/>
              <c:y val="-9.296437945256842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C456C62-29AC-4CFD-8C53-B830B1B2AF70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8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5.4719562243502051E-3"/>
              <c:y val="-7.315958986849131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CBF2625D-B922-437E-8C50-F9052F31CA74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9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2.7359781121750358E-3"/>
              <c:y val="-1.463191797369826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7E497F00-CB74-4076-A1F3-B2D218BB3BF6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0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4.5599635202917708E-3"/>
              <c:y val="-3.657979493424566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7ED43A88-7BFC-43EE-AE2F-5CB7FE4C277B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1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-3.3439346187959487E-17"/>
              <c:y val="-5.4869692401368492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009800A4-0C05-4391-B7E3-6C14BC64F4C6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2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  <c15:showDataLabelsRange val="1"/>
            </c:ext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2079343365251741E-3"/>
              <c:y val="-3.8095238095239492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448E2F80-7ED0-42E9-9A34-263DD5BACBCD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359781121751026E-3"/>
              <c:y val="-3.8095238095238095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BB42AD9E-318E-40CC-BF40-7B95B76938FA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6479708162334701E-3"/>
              <c:y val="-7.61904761904761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177BA93-270A-4E88-9820-4DB3A6AAD84E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68A6A413-5A72-40E7-9A78-6B7C455C7212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0577D717-6C42-4D46-8DBD-54C42DD7AE5E}" type="CELLRANGE">
                  <a:rPr lang="en-US"/>
                  <a:pPr>
                    <a:defRPr sz="1100" b="1"/>
                  </a:pPr>
                  <a:t>[CELLRANGE]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'Resum '!$H$3:$H$8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05C1-417A-AF27-C48DAFA09AA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5C1-417A-AF27-C48DAFA09A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5C1-417A-AF27-C48DAFA09A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5C1-417A-AF27-C48DAFA09AA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05C1-417A-AF27-C48DAFA09AA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4-960E-484E-8C7F-1959BFEAF951}"/>
              </c:ext>
            </c:extLst>
          </c:dPt>
          <c:dLbls>
            <c:dLbl>
              <c:idx val="0"/>
              <c:layout>
                <c:manualLayout>
                  <c:x val="3.6479708162334536E-3"/>
                  <c:y val="-1.0973938480273698E-2"/>
                </c:manualLayout>
              </c:layout>
              <c:tx>
                <c:rich>
                  <a:bodyPr/>
                  <a:lstStyle/>
                  <a:p>
                    <a:fld id="{A3263C7A-1162-400C-B636-50A0B1BFCC2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5C1-417A-AF27-C48DAFA09AA2}"/>
                </c:ext>
              </c:extLst>
            </c:dLbl>
            <c:dLbl>
              <c:idx val="1"/>
              <c:layout>
                <c:manualLayout>
                  <c:x val="1.8239854081167016E-3"/>
                  <c:y val="-3.8408784680957944E-2"/>
                </c:manualLayout>
              </c:layout>
              <c:tx>
                <c:rich>
                  <a:bodyPr/>
                  <a:lstStyle/>
                  <a:p>
                    <a:fld id="{46A251A4-2BC3-41B4-8E59-FCCE9A6ED68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C1-417A-AF27-C48DAFA09AA2}"/>
                </c:ext>
              </c:extLst>
            </c:dLbl>
            <c:dLbl>
              <c:idx val="2"/>
              <c:layout>
                <c:manualLayout>
                  <c:x val="5.4719562243502051E-3"/>
                  <c:y val="-1.280292822698598E-2"/>
                </c:manualLayout>
              </c:layout>
              <c:tx>
                <c:rich>
                  <a:bodyPr/>
                  <a:lstStyle/>
                  <a:p>
                    <a:fld id="{F16EF7F5-EEEB-432D-8861-F9BE4208FA8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5C1-417A-AF27-C48DAFA09AA2}"/>
                </c:ext>
              </c:extLst>
            </c:dLbl>
            <c:dLbl>
              <c:idx val="3"/>
              <c:layout>
                <c:manualLayout>
                  <c:x val="7.2959416324669402E-3"/>
                  <c:y val="-1.6460907720410579E-2"/>
                </c:manualLayout>
              </c:layout>
              <c:tx>
                <c:rich>
                  <a:bodyPr/>
                  <a:lstStyle/>
                  <a:p>
                    <a:fld id="{3C86DB4E-D2BE-4209-8DF6-B44C63B7301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5C1-417A-AF27-C48DAFA09AA2}"/>
                </c:ext>
              </c:extLst>
            </c:dLbl>
            <c:dLbl>
              <c:idx val="4"/>
              <c:layout>
                <c:manualLayout>
                  <c:x val="2.7359781121751026E-3"/>
                  <c:y val="-1.280292822698598E-2"/>
                </c:manualLayout>
              </c:layout>
              <c:tx>
                <c:rich>
                  <a:bodyPr/>
                  <a:lstStyle/>
                  <a:p>
                    <a:fld id="{DE0DF8E5-7077-4D3E-A8F5-3DD47533078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5C1-417A-AF27-C48DAFA09AA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A6A413-5A72-40E7-9A78-6B7C455C721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960E-484E-8C7F-1959BFEA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 '!$H$3:$H$8</c:f>
              <c:strCache>
                <c:ptCount val="6"/>
                <c:pt idx="0">
                  <c:v>ene-24</c:v>
                </c:pt>
                <c:pt idx="1">
                  <c:v>feb-24</c:v>
                </c:pt>
                <c:pt idx="2">
                  <c:v>mar-24</c:v>
                </c:pt>
                <c:pt idx="3">
                  <c:v>abr-24</c:v>
                </c:pt>
                <c:pt idx="4">
                  <c:v>may-24</c:v>
                </c:pt>
                <c:pt idx="5">
                  <c:v>jun-24</c:v>
                </c:pt>
              </c:strCache>
            </c:strRef>
          </c:cat>
          <c:val>
            <c:numRef>
              <c:f>'Resum '!$H$3:$H$8</c:f>
              <c:numCache>
                <c:formatCode>#,##0.00\ "€"</c:formatCode>
                <c:ptCount val="6"/>
                <c:pt idx="0">
                  <c:v>30716.833248187282</c:v>
                </c:pt>
                <c:pt idx="1">
                  <c:v>29889.470999999998</c:v>
                </c:pt>
                <c:pt idx="2">
                  <c:v>32159.848714690052</c:v>
                </c:pt>
                <c:pt idx="3">
                  <c:v>30162.409281243381</c:v>
                </c:pt>
                <c:pt idx="4">
                  <c:v>43881.179565477672</c:v>
                </c:pt>
                <c:pt idx="5">
                  <c:v>56994.44826116426</c:v>
                </c:pt>
              </c:numCache>
            </c:numRef>
          </c:val>
          <c:shape val="cylinder"/>
          <c:extLst>
            <c:ext xmlns:c15="http://schemas.microsoft.com/office/drawing/2012/chart" uri="{02D57815-91ED-43cb-92C2-25804820EDAC}">
              <c15:datalabelsRange>
                <c15:f>'Resum '!$H$3:$H$8</c15:f>
                <c15:dlblRangeCache>
                  <c:ptCount val="6"/>
                  <c:pt idx="0">
                    <c:v>77,1%</c:v>
                  </c:pt>
                  <c:pt idx="1">
                    <c:v>79,8%</c:v>
                  </c:pt>
                  <c:pt idx="2">
                    <c:v>76,4%</c:v>
                  </c:pt>
                  <c:pt idx="3">
                    <c:v>65,7%</c:v>
                  </c:pt>
                  <c:pt idx="4">
                    <c:v>56,4%</c:v>
                  </c:pt>
                  <c:pt idx="5">
                    <c:v>56,2%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DC6C-47BE-9092-DCCE587C21A5}"/>
            </c:ext>
          </c:extLst>
        </c:ser>
        <c:ser>
          <c:idx val="1"/>
          <c:order val="1"/>
          <c:tx>
            <c:strRef>
              <c:f>'Resum '!$H$3:$H$8</c:f>
              <c:strCache>
                <c:ptCount val="1"/>
                <c:pt idx="0">
                  <c:v>RESTAURANTS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05C1-417A-AF27-C48DAFA09AA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05C1-417A-AF27-C48DAFA09A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5C1-417A-AF27-C48DAFA09A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05C1-417A-AF27-C48DAFA09AA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5C1-417A-AF27-C48DAFA09A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60E-484E-8C7F-1959BFEAF951}"/>
              </c:ext>
            </c:extLst>
          </c:dPt>
          <c:dLbls>
            <c:dLbl>
              <c:idx val="0"/>
              <c:layout>
                <c:manualLayout>
                  <c:x val="3.6479708162334701E-3"/>
                  <c:y val="-9.1449487335615483E-3"/>
                </c:manualLayout>
              </c:layout>
              <c:tx>
                <c:rich>
                  <a:bodyPr/>
                  <a:lstStyle/>
                  <a:p>
                    <a:fld id="{10B70748-127B-4534-BC14-4C7CA706E6C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5C1-417A-AF27-C48DAFA09AA2}"/>
                </c:ext>
              </c:extLst>
            </c:dLbl>
            <c:dLbl>
              <c:idx val="1"/>
              <c:layout>
                <c:manualLayout>
                  <c:x val="5.4719562243502389E-3"/>
                  <c:y val="-5.4869692401368492E-3"/>
                </c:manualLayout>
              </c:layout>
              <c:tx>
                <c:rich>
                  <a:bodyPr/>
                  <a:lstStyle/>
                  <a:p>
                    <a:fld id="{9F0782A1-95D5-4B32-922A-A3E4C7B64EE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5C1-417A-AF27-C48DAFA09AA2}"/>
                </c:ext>
              </c:extLst>
            </c:dLbl>
            <c:dLbl>
              <c:idx val="2"/>
              <c:layout>
                <c:manualLayout>
                  <c:x val="3.6479708162334033E-3"/>
                  <c:y val="-1.0973938480273698E-2"/>
                </c:manualLayout>
              </c:layout>
              <c:tx>
                <c:rich>
                  <a:bodyPr/>
                  <a:lstStyle/>
                  <a:p>
                    <a:fld id="{CFDD2A95-8188-4655-B1A1-DE29DB6F41F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5C1-417A-AF27-C48DAFA09AA2}"/>
                </c:ext>
              </c:extLst>
            </c:dLbl>
            <c:dLbl>
              <c:idx val="3"/>
              <c:layout>
                <c:manualLayout>
                  <c:x val="5.4719562243500715E-3"/>
                  <c:y val="-9.1449487335615483E-3"/>
                </c:manualLayout>
              </c:layout>
              <c:tx>
                <c:rich>
                  <a:bodyPr/>
                  <a:lstStyle/>
                  <a:p>
                    <a:fld id="{78A62EE4-A608-47BE-95C7-B597293723D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5C1-417A-AF27-C48DAFA09AA2}"/>
                </c:ext>
              </c:extLst>
            </c:dLbl>
            <c:dLbl>
              <c:idx val="4"/>
              <c:layout>
                <c:manualLayout>
                  <c:x val="5.4719562243502051E-3"/>
                  <c:y val="-9.1449487335615483E-3"/>
                </c:manualLayout>
              </c:layout>
              <c:tx>
                <c:rich>
                  <a:bodyPr/>
                  <a:lstStyle/>
                  <a:p>
                    <a:fld id="{A16345BA-35B2-4E68-AE12-F44B0BA7FE9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5C1-417A-AF27-C48DAFA09AA2}"/>
                </c:ext>
              </c:extLst>
            </c:dLbl>
            <c:dLbl>
              <c:idx val="5"/>
              <c:layout>
                <c:manualLayout>
                  <c:x val="3.6479708162334701E-3"/>
                  <c:y val="-7.619047619047619E-3"/>
                </c:manualLayout>
              </c:layout>
              <c:tx>
                <c:rich>
                  <a:bodyPr/>
                  <a:lstStyle/>
                  <a:p>
                    <a:fld id="{F177BA93-270A-4E88-9820-4DB3A6AAD84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960E-484E-8C7F-1959BFEA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 '!$H$3:$H$8</c:f>
              <c:strCache>
                <c:ptCount val="6"/>
                <c:pt idx="0">
                  <c:v>ene-24</c:v>
                </c:pt>
                <c:pt idx="1">
                  <c:v>feb-24</c:v>
                </c:pt>
                <c:pt idx="2">
                  <c:v>mar-24</c:v>
                </c:pt>
                <c:pt idx="3">
                  <c:v>abr-24</c:v>
                </c:pt>
                <c:pt idx="4">
                  <c:v>may-24</c:v>
                </c:pt>
                <c:pt idx="5">
                  <c:v>jun-24</c:v>
                </c:pt>
              </c:strCache>
            </c:strRef>
          </c:cat>
          <c:val>
            <c:numRef>
              <c:f>'Resum '!$H$3:$H$8</c:f>
              <c:numCache>
                <c:formatCode>#,##0.00\ "€"</c:formatCode>
                <c:ptCount val="6"/>
                <c:pt idx="0">
                  <c:v>4008.78</c:v>
                </c:pt>
                <c:pt idx="1">
                  <c:v>4249.0999999999995</c:v>
                </c:pt>
                <c:pt idx="2">
                  <c:v>4747.8599999999997</c:v>
                </c:pt>
                <c:pt idx="3">
                  <c:v>4400.3021999999992</c:v>
                </c:pt>
                <c:pt idx="4">
                  <c:v>6070.6800000000021</c:v>
                </c:pt>
                <c:pt idx="5">
                  <c:v>4112.53</c:v>
                </c:pt>
              </c:numCache>
            </c:numRef>
          </c:val>
          <c:shape val="cylinder"/>
          <c:extLst>
            <c:ext xmlns:c15="http://schemas.microsoft.com/office/drawing/2012/chart" uri="{02D57815-91ED-43cb-92C2-25804820EDAC}">
              <c15:datalabelsRange>
                <c15:f>'Resum '!$I$3:$I$8</c15:f>
                <c15:dlblRangeCache>
                  <c:ptCount val="6"/>
                  <c:pt idx="0">
                    <c:v>10,1%</c:v>
                  </c:pt>
                  <c:pt idx="1">
                    <c:v>11,4%</c:v>
                  </c:pt>
                  <c:pt idx="2">
                    <c:v>11,3%</c:v>
                  </c:pt>
                  <c:pt idx="3">
                    <c:v>9,6%</c:v>
                  </c:pt>
                  <c:pt idx="4">
                    <c:v>7,8%</c:v>
                  </c:pt>
                  <c:pt idx="5">
                    <c:v>4,1%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DC6C-47BE-9092-DCCE587C21A5}"/>
            </c:ext>
          </c:extLst>
        </c:ser>
        <c:ser>
          <c:idx val="2"/>
          <c:order val="2"/>
          <c:tx>
            <c:strRef>
              <c:f>'Resum '!$H$3:$H$8</c:f>
              <c:strCache>
                <c:ptCount val="1"/>
                <c:pt idx="0">
                  <c:v>FOOD LOVERS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05C1-417A-AF27-C48DAFA09AA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05C1-417A-AF27-C48DAFA09A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05C1-417A-AF27-C48DAFA09A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05C1-417A-AF27-C48DAFA09AA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05C1-417A-AF27-C48DAFA09A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960E-484E-8C7F-1959BFEAF951}"/>
              </c:ext>
            </c:extLst>
          </c:dPt>
          <c:dLbls>
            <c:dLbl>
              <c:idx val="0"/>
              <c:layout>
                <c:manualLayout>
                  <c:x val="9.1199270405836752E-4"/>
                  <c:y val="-1.4631917973698264E-2"/>
                </c:manualLayout>
              </c:layout>
              <c:tx>
                <c:rich>
                  <a:bodyPr/>
                  <a:lstStyle/>
                  <a:p>
                    <a:fld id="{F76ED737-47E7-46BC-BE59-7285A46CE04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5C1-417A-AF27-C48DAFA09AA2}"/>
                </c:ext>
              </c:extLst>
            </c:dLbl>
            <c:dLbl>
              <c:idx val="1"/>
              <c:layout>
                <c:manualLayout>
                  <c:x val="3.6479708162334701E-3"/>
                  <c:y val="-1.828989746712283E-3"/>
                </c:manualLayout>
              </c:layout>
              <c:tx>
                <c:rich>
                  <a:bodyPr/>
                  <a:lstStyle/>
                  <a:p>
                    <a:fld id="{C6706EC3-2CA9-4869-9B00-D6589893814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5C1-417A-AF27-C48DAFA09AA2}"/>
                </c:ext>
              </c:extLst>
            </c:dLbl>
            <c:dLbl>
              <c:idx val="2"/>
              <c:layout>
                <c:manualLayout>
                  <c:x val="3.6479708162334701E-3"/>
                  <c:y val="-5.4869692401369827E-3"/>
                </c:manualLayout>
              </c:layout>
              <c:tx>
                <c:rich>
                  <a:bodyPr/>
                  <a:lstStyle/>
                  <a:p>
                    <a:fld id="{BD1D3DEB-2C28-42E7-AB01-D186543F08E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5C1-417A-AF27-C48DAFA09AA2}"/>
                </c:ext>
              </c:extLst>
            </c:dLbl>
            <c:dLbl>
              <c:idx val="3"/>
              <c:layout>
                <c:manualLayout>
                  <c:x val="2.7359781121751026E-3"/>
                  <c:y val="-1.280292822698598E-2"/>
                </c:manualLayout>
              </c:layout>
              <c:tx>
                <c:rich>
                  <a:bodyPr/>
                  <a:lstStyle/>
                  <a:p>
                    <a:fld id="{0171067D-862E-4A1C-8F3E-BCB0350BD21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5C1-417A-AF27-C48DAFA09AA2}"/>
                </c:ext>
              </c:extLst>
            </c:dLbl>
            <c:dLbl>
              <c:idx val="4"/>
              <c:layout>
                <c:manualLayout>
                  <c:x val="3.6479708162334701E-3"/>
                  <c:y val="-5.4869692401368492E-3"/>
                </c:manualLayout>
              </c:layout>
              <c:tx>
                <c:rich>
                  <a:bodyPr/>
                  <a:lstStyle/>
                  <a:p>
                    <a:fld id="{B06B9F8B-B569-4FAA-AF03-817AB054E45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5C1-417A-AF27-C48DAFA09AA2}"/>
                </c:ext>
              </c:extLst>
            </c:dLbl>
            <c:dLbl>
              <c:idx val="5"/>
              <c:layout>
                <c:manualLayout>
                  <c:x val="2.7359781121751026E-3"/>
                  <c:y val="-3.8095238095238095E-3"/>
                </c:manualLayout>
              </c:layout>
              <c:tx>
                <c:rich>
                  <a:bodyPr/>
                  <a:lstStyle/>
                  <a:p>
                    <a:fld id="{BB42AD9E-318E-40CC-BF40-7B95B76938F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960E-484E-8C7F-1959BFEA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 '!$H$3:$H$8</c:f>
              <c:strCache>
                <c:ptCount val="6"/>
                <c:pt idx="0">
                  <c:v>ene-24</c:v>
                </c:pt>
                <c:pt idx="1">
                  <c:v>feb-24</c:v>
                </c:pt>
                <c:pt idx="2">
                  <c:v>mar-24</c:v>
                </c:pt>
                <c:pt idx="3">
                  <c:v>abr-24</c:v>
                </c:pt>
                <c:pt idx="4">
                  <c:v>may-24</c:v>
                </c:pt>
                <c:pt idx="5">
                  <c:v>jun-24</c:v>
                </c:pt>
              </c:strCache>
            </c:strRef>
          </c:cat>
          <c:val>
            <c:numRef>
              <c:f>'Resum '!$H$3:$H$8</c:f>
              <c:numCache>
                <c:formatCode>#,##0.00\ "€"</c:formatCode>
                <c:ptCount val="6"/>
                <c:pt idx="0">
                  <c:v>0</c:v>
                </c:pt>
                <c:pt idx="1">
                  <c:v>654.63</c:v>
                </c:pt>
                <c:pt idx="2">
                  <c:v>109.72</c:v>
                </c:pt>
                <c:pt idx="3">
                  <c:v>59.66</c:v>
                </c:pt>
                <c:pt idx="4">
                  <c:v>1084.3399999999999</c:v>
                </c:pt>
                <c:pt idx="5">
                  <c:v>1007.750654172768</c:v>
                </c:pt>
              </c:numCache>
            </c:numRef>
          </c:val>
          <c:shape val="cylinder"/>
          <c:extLst>
            <c:ext xmlns:c15="http://schemas.microsoft.com/office/drawing/2012/chart" uri="{02D57815-91ED-43cb-92C2-25804820EDAC}">
              <c15:datalabelsRange>
                <c15:f>'Resum '!$J$3:$J$8</c15:f>
                <c15:dlblRangeCache>
                  <c:ptCount val="6"/>
                  <c:pt idx="0">
                    <c:v>0,0%</c:v>
                  </c:pt>
                  <c:pt idx="1">
                    <c:v>1,7%</c:v>
                  </c:pt>
                  <c:pt idx="2">
                    <c:v>0,3%</c:v>
                  </c:pt>
                  <c:pt idx="3">
                    <c:v>0,1%</c:v>
                  </c:pt>
                  <c:pt idx="4">
                    <c:v>1,4%</c:v>
                  </c:pt>
                  <c:pt idx="5">
                    <c:v>1,0%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DC6C-47BE-9092-DCCE587C21A5}"/>
            </c:ext>
          </c:extLst>
        </c:ser>
        <c:ser>
          <c:idx val="3"/>
          <c:order val="3"/>
          <c:tx>
            <c:strRef>
              <c:f>'Resum '!$H$3:$H$8</c:f>
              <c:strCache>
                <c:ptCount val="1"/>
                <c:pt idx="0">
                  <c:v>CASAMENTS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05C1-417A-AF27-C48DAFA09A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05C1-417A-AF27-C48DAFA09A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05C1-417A-AF27-C48DAFA09AA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05C1-417A-AF27-C48DAFA09A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60E-484E-8C7F-1959BFEAF951}"/>
              </c:ext>
            </c:extLst>
          </c:dPt>
          <c:dLbls>
            <c:dLbl>
              <c:idx val="0"/>
              <c:layout>
                <c:manualLayout>
                  <c:x val="9.1199270405833413E-4"/>
                  <c:y val="-7.3159589868491319E-3"/>
                </c:manualLayout>
              </c:layout>
              <c:tx>
                <c:rich>
                  <a:bodyPr/>
                  <a:lstStyle/>
                  <a:p>
                    <a:fld id="{F3370B2F-8944-45B3-9994-6A2EA569039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5C1-417A-AF27-C48DAFA09A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5C1-417A-AF27-C48DAFA09AA2}"/>
                </c:ext>
              </c:extLst>
            </c:dLbl>
            <c:dLbl>
              <c:idx val="2"/>
              <c:layout>
                <c:manualLayout>
                  <c:x val="2.7359781121751026E-3"/>
                  <c:y val="-5.4869692401368492E-3"/>
                </c:manualLayout>
              </c:layout>
              <c:tx>
                <c:rich>
                  <a:bodyPr/>
                  <a:lstStyle/>
                  <a:p>
                    <a:fld id="{F0C155E7-175E-463A-B7A1-8F68D8D67A6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5C1-417A-AF27-C48DAFA09AA2}"/>
                </c:ext>
              </c:extLst>
            </c:dLbl>
            <c:dLbl>
              <c:idx val="3"/>
              <c:layout>
                <c:manualLayout>
                  <c:x val="3.6479708162334701E-3"/>
                  <c:y val="-9.1449487335614147E-3"/>
                </c:manualLayout>
              </c:layout>
              <c:tx>
                <c:rich>
                  <a:bodyPr/>
                  <a:lstStyle/>
                  <a:p>
                    <a:fld id="{355EB0C7-2257-4207-9F65-78913253055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5C1-417A-AF27-C48DAFA09AA2}"/>
                </c:ext>
              </c:extLst>
            </c:dLbl>
            <c:dLbl>
              <c:idx val="4"/>
              <c:layout>
                <c:manualLayout>
                  <c:x val="1.823985408116735E-3"/>
                  <c:y val="-1.0973938480273698E-2"/>
                </c:manualLayout>
              </c:layout>
              <c:tx>
                <c:rich>
                  <a:bodyPr/>
                  <a:lstStyle/>
                  <a:p>
                    <a:fld id="{9428FEDB-BE6E-4C55-95B6-FD520B132CD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5C1-417A-AF27-C48DAFA09AA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77D717-6C42-4D46-8DBD-54C42DD7AE5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960E-484E-8C7F-1959BFEA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 '!$H$3:$H$8</c:f>
              <c:strCache>
                <c:ptCount val="6"/>
                <c:pt idx="0">
                  <c:v>ene-24</c:v>
                </c:pt>
                <c:pt idx="1">
                  <c:v>feb-24</c:v>
                </c:pt>
                <c:pt idx="2">
                  <c:v>mar-24</c:v>
                </c:pt>
                <c:pt idx="3">
                  <c:v>abr-24</c:v>
                </c:pt>
                <c:pt idx="4">
                  <c:v>may-24</c:v>
                </c:pt>
                <c:pt idx="5">
                  <c:v>jun-24</c:v>
                </c:pt>
              </c:strCache>
            </c:strRef>
          </c:cat>
          <c:val>
            <c:numRef>
              <c:f>'Resum '!$H$3:$H$8</c:f>
              <c:numCache>
                <c:formatCode>#,##0.00\ "€"</c:formatCode>
                <c:ptCount val="6"/>
                <c:pt idx="0">
                  <c:v>1875.9433518127282</c:v>
                </c:pt>
                <c:pt idx="2">
                  <c:v>2128.5176853099383</c:v>
                </c:pt>
                <c:pt idx="3">
                  <c:v>8445.4047187566175</c:v>
                </c:pt>
                <c:pt idx="4">
                  <c:v>23958.421234522313</c:v>
                </c:pt>
                <c:pt idx="5">
                  <c:v>36004.987284662966</c:v>
                </c:pt>
              </c:numCache>
            </c:numRef>
          </c:val>
          <c:shape val="cylinder"/>
          <c:extLst>
            <c:ext xmlns:c15="http://schemas.microsoft.com/office/drawing/2012/chart" uri="{02D57815-91ED-43cb-92C2-25804820EDAC}">
              <c15:datalabelsRange>
                <c15:f>'Resum '!$K$3:$K$8</c15:f>
                <c15:dlblRangeCache>
                  <c:ptCount val="6"/>
                  <c:pt idx="0">
                    <c:v>4,7%</c:v>
                  </c:pt>
                  <c:pt idx="1">
                    <c:v>0,0%</c:v>
                  </c:pt>
                  <c:pt idx="2">
                    <c:v>5,1%</c:v>
                  </c:pt>
                  <c:pt idx="3">
                    <c:v>18,4%</c:v>
                  </c:pt>
                  <c:pt idx="4">
                    <c:v>30,8%</c:v>
                  </c:pt>
                  <c:pt idx="5">
                    <c:v>35,5%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DC6C-47BE-9092-DCCE587C21A5}"/>
            </c:ext>
          </c:extLst>
        </c:ser>
        <c:ser>
          <c:idx val="4"/>
          <c:order val="4"/>
          <c:tx>
            <c:strRef>
              <c:f>'Resum '!$H$3:$H$8</c:f>
              <c:strCache>
                <c:ptCount val="1"/>
                <c:pt idx="0">
                  <c:v>ATMETLLER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05C1-417A-AF27-C48DAFA09AA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05C1-417A-AF27-C48DAFA09A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05C1-417A-AF27-C48DAFA09A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4-05C1-417A-AF27-C48DAFA09AA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05C1-417A-AF27-C48DAFA09A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60E-484E-8C7F-1959BFEAF951}"/>
              </c:ext>
            </c:extLst>
          </c:dPt>
          <c:dLbls>
            <c:dLbl>
              <c:idx val="0"/>
              <c:layout>
                <c:manualLayout>
                  <c:x val="-3.3439346187959487E-17"/>
                  <c:y val="-5.4869692401368492E-3"/>
                </c:manualLayout>
              </c:layout>
              <c:tx>
                <c:rich>
                  <a:bodyPr/>
                  <a:lstStyle/>
                  <a:p>
                    <a:fld id="{009800A4-0C05-4391-B7E3-6C14BC64F4C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5C1-417A-AF27-C48DAFA09AA2}"/>
                </c:ext>
              </c:extLst>
            </c:dLbl>
            <c:dLbl>
              <c:idx val="1"/>
              <c:layout>
                <c:manualLayout>
                  <c:x val="4.5599635202917708E-3"/>
                  <c:y val="-3.657979493424566E-3"/>
                </c:manualLayout>
              </c:layout>
              <c:tx>
                <c:rich>
                  <a:bodyPr/>
                  <a:lstStyle/>
                  <a:p>
                    <a:fld id="{7ED43A88-7BFC-43EE-AE2F-5CB7FE4C277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5C1-417A-AF27-C48DAFA09AA2}"/>
                </c:ext>
              </c:extLst>
            </c:dLbl>
            <c:dLbl>
              <c:idx val="2"/>
              <c:layout>
                <c:manualLayout>
                  <c:x val="2.7359781121750358E-3"/>
                  <c:y val="-1.4631917973698264E-2"/>
                </c:manualLayout>
              </c:layout>
              <c:tx>
                <c:rich>
                  <a:bodyPr/>
                  <a:lstStyle/>
                  <a:p>
                    <a:fld id="{7E497F00-CB74-4076-A1F3-B2D218BB3BF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5C1-417A-AF27-C48DAFA09AA2}"/>
                </c:ext>
              </c:extLst>
            </c:dLbl>
            <c:dLbl>
              <c:idx val="3"/>
              <c:layout>
                <c:manualLayout>
                  <c:x val="5.4719562243502051E-3"/>
                  <c:y val="-7.3159589868491319E-3"/>
                </c:manualLayout>
              </c:layout>
              <c:tx>
                <c:rich>
                  <a:bodyPr/>
                  <a:lstStyle/>
                  <a:p>
                    <a:fld id="{CBF2625D-B922-437E-8C50-F9052F31CA7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5C1-417A-AF27-C48DAFA09AA2}"/>
                </c:ext>
              </c:extLst>
            </c:dLbl>
            <c:dLbl>
              <c:idx val="4"/>
              <c:layout>
                <c:manualLayout>
                  <c:x val="8.2079343365253077E-3"/>
                  <c:y val="-9.2964379452568427E-3"/>
                </c:manualLayout>
              </c:layout>
              <c:tx>
                <c:rich>
                  <a:bodyPr/>
                  <a:lstStyle/>
                  <a:p>
                    <a:fld id="{CC456C62-29AC-4CFD-8C53-B830B1B2AF7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5C1-417A-AF27-C48DAFA09AA2}"/>
                </c:ext>
              </c:extLst>
            </c:dLbl>
            <c:dLbl>
              <c:idx val="5"/>
              <c:layout>
                <c:manualLayout>
                  <c:x val="8.2079343365251741E-3"/>
                  <c:y val="-3.8095238095239492E-3"/>
                </c:manualLayout>
              </c:layout>
              <c:tx>
                <c:rich>
                  <a:bodyPr/>
                  <a:lstStyle/>
                  <a:p>
                    <a:fld id="{448E2F80-7ED0-42E9-9A34-263DD5BACBC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960E-484E-8C7F-1959BFEA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 '!$H$3:$H$8</c:f>
              <c:strCache>
                <c:ptCount val="6"/>
                <c:pt idx="0">
                  <c:v>ene-24</c:v>
                </c:pt>
                <c:pt idx="1">
                  <c:v>feb-24</c:v>
                </c:pt>
                <c:pt idx="2">
                  <c:v>mar-24</c:v>
                </c:pt>
                <c:pt idx="3">
                  <c:v>abr-24</c:v>
                </c:pt>
                <c:pt idx="4">
                  <c:v>may-24</c:v>
                </c:pt>
                <c:pt idx="5">
                  <c:v>jun-24</c:v>
                </c:pt>
              </c:strCache>
            </c:strRef>
          </c:cat>
          <c:val>
            <c:numRef>
              <c:f>'Resum '!$H$3:$H$8</c:f>
              <c:numCache>
                <c:formatCode>#,##0.00\ "€"</c:formatCode>
                <c:ptCount val="6"/>
                <c:pt idx="0">
                  <c:v>3243.4288000000006</c:v>
                </c:pt>
                <c:pt idx="1">
                  <c:v>2641.0284000000011</c:v>
                </c:pt>
                <c:pt idx="2">
                  <c:v>2930.5151999999994</c:v>
                </c:pt>
                <c:pt idx="3">
                  <c:v>2825.895199999999</c:v>
                </c:pt>
                <c:pt idx="4">
                  <c:v>2786.5151999999994</c:v>
                </c:pt>
                <c:pt idx="5">
                  <c:v>3285.308399999999</c:v>
                </c:pt>
              </c:numCache>
            </c:numRef>
          </c:val>
          <c:shape val="cylinder"/>
          <c:extLst>
            <c:ext xmlns:c15="http://schemas.microsoft.com/office/drawing/2012/chart" uri="{02D57815-91ED-43cb-92C2-25804820EDAC}">
              <c15:datalabelsRange>
                <c15:f>'Resum '!$L$3:$L$8</c15:f>
                <c15:dlblRangeCache>
                  <c:ptCount val="6"/>
                  <c:pt idx="0">
                    <c:v>8,1%</c:v>
                  </c:pt>
                  <c:pt idx="1">
                    <c:v>7,1%</c:v>
                  </c:pt>
                  <c:pt idx="2">
                    <c:v>7,0%</c:v>
                  </c:pt>
                  <c:pt idx="3">
                    <c:v>6,2%</c:v>
                  </c:pt>
                  <c:pt idx="4">
                    <c:v>3,6%</c:v>
                  </c:pt>
                  <c:pt idx="5">
                    <c:v>3,2%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DC6C-47BE-9092-DCCE587C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6248480"/>
        <c:axId val="776243200"/>
        <c:axId val="0"/>
      </c:bar3DChart>
      <c:catAx>
        <c:axId val="7762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243200"/>
        <c:crosses val="autoZero"/>
        <c:auto val="1"/>
        <c:lblAlgn val="ctr"/>
        <c:lblOffset val="100"/>
        <c:noMultiLvlLbl val="0"/>
      </c:catAx>
      <c:valAx>
        <c:axId val="776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2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891566</xdr:colOff>
      <xdr:row>15</xdr:row>
      <xdr:rowOff>38100</xdr:rowOff>
    </xdr:from>
    <xdr:to>
      <xdr:col>12</xdr:col>
      <xdr:colOff>167252</xdr:colOff>
      <xdr:row>41</xdr:row>
      <xdr:rowOff>19050</xdr:rowOff>
    </xdr:to>
    <xdr:pic>
      <xdr:nvPicPr>
        <xdr:cNvPr id="3" name="Imagen 2" descr="Claves de la gestión logística - Blog">
          <a:extLst>
            <a:ext uri="{FF2B5EF4-FFF2-40B4-BE49-F238E27FC236}">
              <a16:creationId xmlns:a16="http://schemas.microsoft.com/office/drawing/2014/main" id="{DF930175-1BCF-0A3C-9761-74862997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4591" y="2895600"/>
          <a:ext cx="8981661" cy="493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9</xdr:row>
      <xdr:rowOff>152400</xdr:rowOff>
    </xdr:from>
    <xdr:to>
      <xdr:col>13</xdr:col>
      <xdr:colOff>476250</xdr:colOff>
      <xdr:row>12</xdr:row>
      <xdr:rowOff>142875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1DC04B1-1F64-49A0-BF05-ABA18CAA99AC}"/>
            </a:ext>
          </a:extLst>
        </xdr:cNvPr>
        <xdr:cNvSpPr txBox="1"/>
      </xdr:nvSpPr>
      <xdr:spPr>
        <a:xfrm>
          <a:off x="133350" y="2819400"/>
          <a:ext cx="22517100" cy="561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3200"/>
            <a:t>COST</a:t>
          </a:r>
          <a:r>
            <a:rPr lang="es-ES" sz="3200" baseline="0"/>
            <a:t> LOGÍSTIC MENSUAL </a:t>
          </a:r>
          <a:endParaRPr lang="es-ES" sz="3200"/>
        </a:p>
      </xdr:txBody>
    </xdr:sp>
    <xdr:clientData/>
  </xdr:twoCellAnchor>
  <xdr:twoCellAnchor>
    <xdr:from>
      <xdr:col>0</xdr:col>
      <xdr:colOff>238125</xdr:colOff>
      <xdr:row>14</xdr:row>
      <xdr:rowOff>180975</xdr:rowOff>
    </xdr:from>
    <xdr:to>
      <xdr:col>16</xdr:col>
      <xdr:colOff>66675</xdr:colOff>
      <xdr:row>49</xdr:row>
      <xdr:rowOff>180975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8F8A30A-AFF2-013C-A203-1D7E2209B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TZEM" refreshedDate="45491.446054513886" createdVersion="8" refreshedVersion="8" minRefreshableVersion="3" recordCount="528" xr:uid="{5B2EDEDC-4C1A-4496-AF26-B70181FBFBDD}">
  <cacheSource type="worksheet">
    <worksheetSource ref="A1:Z233" sheet="Events"/>
  </cacheSource>
  <cacheFields count="31">
    <cacheField name="DATA" numFmtId="14">
      <sharedItems containsSemiMixedTypes="0" containsNonDate="0" containsDate="1" containsString="0" minDate="2004-03-15T00:00:00" maxDate="2024-07-01T00:00:00"/>
    </cacheField>
    <cacheField name="MESOS" numFmtId="17">
      <sharedItems containsSemiMixedTypes="0" containsNonDate="0" containsDate="1" containsString="0" minDate="2024-01-01T00:00:00" maxDate="2024-06-02T00:00:00" count="6">
        <d v="2024-01-01T00:00:00"/>
        <d v="2024-02-01T00:00:00"/>
        <d v="2024-03-01T00:00:00"/>
        <d v="2024-04-01T00:00:00"/>
        <d v="2024-05-01T00:00:00"/>
        <d v="2024-06-01T00:00:00"/>
      </sharedItems>
      <fieldGroup par="29"/>
    </cacheField>
    <cacheField name="GRUP" numFmtId="0">
      <sharedItems count="7">
        <s v="CASAMENTS"/>
        <s v="EVENTS"/>
        <s v="FOOD LOVERS"/>
        <s v="ATMETLLER"/>
        <s v="RESTAURANTS"/>
        <s v="BLAYET" u="1"/>
        <s v="ATMERTLLER" u="1"/>
      </sharedItems>
    </cacheField>
    <cacheField name="ESPAI" numFmtId="0">
      <sharedItems containsBlank="1"/>
    </cacheField>
    <cacheField name="TIPUS DE SERVEI" numFmtId="0">
      <sharedItems containsBlank="1"/>
    </cacheField>
    <cacheField name="LLOC DEL SERVEI" numFmtId="0">
      <sharedItems containsBlank="1"/>
    </cacheField>
    <cacheField name="NOM DEL SERVEI" numFmtId="0">
      <sharedItems containsBlank="1"/>
    </cacheField>
    <cacheField name="GESTIÓ LOGÍSTICA" numFmtId="0">
      <sharedItems containsSemiMixedTypes="0" containsString="0" containsNumber="1" minValue="0" maxValue="1855.0837999433716"/>
    </cacheField>
    <cacheField name="PREPARACIÓ" numFmtId="0">
      <sharedItems containsSemiMixedTypes="0" containsString="0" containsNumber="1" minValue="0" maxValue="2126.8027494646512"/>
    </cacheField>
    <cacheField name="PERSONAL DE RENTAT" numFmtId="0">
      <sharedItems containsSemiMixedTypes="0" containsString="0" containsNumber="1" minValue="0" maxValue="1514.39339574529"/>
    </cacheField>
    <cacheField name="COMPLEMENT_x000a_RESPONSABLE EVENT" numFmtId="0">
      <sharedItems containsSemiMixedTypes="0" containsString="0" containsNumber="1" containsInteger="1" minValue="0" maxValue="100"/>
    </cacheField>
    <cacheField name="PERSONAL SERVEI_x000a_LOGÍSTICS" numFmtId="0">
      <sharedItems containsSemiMixedTypes="0" containsString="0" containsNumber="1" minValue="0" maxValue="8"/>
    </cacheField>
    <cacheField name="HORES SERVEI" numFmtId="0">
      <sharedItems containsString="0" containsBlank="1" containsNumber="1" minValue="0" maxValue="21.75"/>
    </cacheField>
    <cacheField name="PERSONAL TRANSPORT_x000a_LOGÍSTICS" numFmtId="0">
      <sharedItems containsSemiMixedTypes="0" containsString="0" containsNumber="1" containsInteger="1" minValue="0" maxValue="22"/>
    </cacheField>
    <cacheField name="HORES" numFmtId="0">
      <sharedItems containsSemiMixedTypes="0" containsString="0" containsNumber="1" minValue="0" maxValue="10"/>
    </cacheField>
    <cacheField name="TOTAL HORES" numFmtId="0">
      <sharedItems containsSemiMixedTypes="0" containsString="0" containsNumber="1" minValue="0" maxValue="186"/>
    </cacheField>
    <cacheField name="LLOGUER_x000a_VEHICLES" numFmtId="0">
      <sharedItems containsString="0" containsBlank="1" containsNumber="1" minValue="0" maxValue="242.92000000000002"/>
    </cacheField>
    <cacheField name="MANTENIMENT_x000a_VEHICLES" numFmtId="0">
      <sharedItems containsSemiMixedTypes="0" containsString="0" containsNumber="1" minValue="0" maxValue="118.91"/>
    </cacheField>
    <cacheField name="CAMIONS_x000a_GRAN" numFmtId="0">
      <sharedItems containsString="0" containsBlank="1" containsNumber="1" containsInteger="1" minValue="0" maxValue="20"/>
    </cacheField>
    <cacheField name="KM" numFmtId="0">
      <sharedItems containsSemiMixedTypes="0" containsString="0" containsNumber="1" containsInteger="1" minValue="0" maxValue="320"/>
    </cacheField>
    <cacheField name="CAMIONS_x000a_CUINA" numFmtId="0">
      <sharedItems containsString="0" containsBlank="1" containsNumber="1" containsInteger="1" minValue="0" maxValue="20"/>
    </cacheField>
    <cacheField name="KM2" numFmtId="0">
      <sharedItems containsSemiMixedTypes="0" containsString="0" containsNumber="1" containsInteger="1" minValue="0" maxValue="320"/>
    </cacheField>
    <cacheField name="CAMIONS_x000a_PETIT" numFmtId="0">
      <sharedItems containsString="0" containsBlank="1" containsNumber="1" containsInteger="1" minValue="0" maxValue="22"/>
    </cacheField>
    <cacheField name="KM3" numFmtId="0">
      <sharedItems containsSemiMixedTypes="0" containsString="0" containsNumber="1" minValue="0" maxValue="320"/>
    </cacheField>
    <cacheField name="TOTAL _x000a_KM" numFmtId="0">
      <sharedItems containsSemiMixedTypes="0" containsString="0" containsNumber="1" containsInteger="1" minValue="0" maxValue="4140"/>
    </cacheField>
    <cacheField name="TOTAL COST " numFmtId="6">
      <sharedItems containsSemiMixedTypes="0" containsString="0" containsNumber="1" minValue="0" maxValue="10292.953945153313"/>
    </cacheField>
    <cacheField name="% REST" numFmtId="0" formula="GRUP/#NAME?" databaseField="0"/>
    <cacheField name="%" numFmtId="0" formula="#NAME?/#NAME?" databaseField="0"/>
    <cacheField name="Días (MESOS)" numFmtId="0" databaseField="0">
      <fieldGroup base="1">
        <rangePr groupBy="days" startDate="2024-01-01T00:00:00" endDate="2024-06-02T00:00:00"/>
        <groupItems count="368">
          <s v="&lt;01/01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06/2024"/>
        </groupItems>
      </fieldGroup>
    </cacheField>
    <cacheField name="Meses (MESOS)" numFmtId="0" databaseField="0">
      <fieldGroup base="1">
        <rangePr groupBy="months" startDate="2024-01-01T00:00:00" endDate="2024-06-02T00:00:00"/>
        <groupItems count="14">
          <s v="&lt;01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6/2024"/>
        </groupItems>
      </fieldGroup>
    </cacheField>
    <cacheField name="% EVENTS" numFmtId="0" formula="GRUP/'TOTAL COST 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TZEM" refreshedDate="45491.693689699074" createdVersion="8" refreshedVersion="8" minRefreshableVersion="3" recordCount="528" xr:uid="{2C8F3811-B02C-4011-98A3-09375E9A5604}">
  <cacheSource type="worksheet">
    <worksheetSource name="Tabla1"/>
  </cacheSource>
  <cacheFields count="38">
    <cacheField name="DATA" numFmtId="14">
      <sharedItems containsSemiMixedTypes="0" containsNonDate="0" containsDate="1" containsString="0" minDate="2004-03-15T00:00:00" maxDate="2024-07-01T00:00:00"/>
    </cacheField>
    <cacheField name="MESOS" numFmtId="17">
      <sharedItems containsSemiMixedTypes="0" containsNonDate="0" containsDate="1" containsString="0" minDate="2024-01-01T00:00:00" maxDate="2024-06-02T00:00:00" count="6">
        <d v="2024-01-01T00:00:00"/>
        <d v="2024-02-01T00:00:00"/>
        <d v="2024-03-01T00:00:00"/>
        <d v="2024-04-01T00:00:00"/>
        <d v="2024-05-01T00:00:00"/>
        <d v="2024-06-01T00:00:00"/>
      </sharedItems>
      <fieldGroup par="36"/>
    </cacheField>
    <cacheField name="GRUP" numFmtId="0">
      <sharedItems count="7">
        <s v="CASAMENTS"/>
        <s v="EVENTS"/>
        <s v="FOOD LOVERS"/>
        <s v="ATMETLLER"/>
        <s v="RESTAURANTS"/>
        <s v="BLAYET" u="1"/>
        <s v="ATMERTLLER" u="1"/>
      </sharedItems>
    </cacheField>
    <cacheField name="ESPAI" numFmtId="0">
      <sharedItems containsBlank="1" count="4">
        <s v="EXTERN"/>
        <s v="MASIA PROPIES"/>
        <m/>
        <s v="FOOD LOVERS"/>
      </sharedItems>
    </cacheField>
    <cacheField name="TIPUS DE SERVEI" numFmtId="0">
      <sharedItems containsBlank="1" count="25">
        <s v="CASAMENT"/>
        <s v="BANQUET"/>
        <s v="COFFEE"/>
        <s v="COCTEL"/>
        <s v="BRUNCH"/>
        <s v="PAELLES"/>
        <s v="BUFFET"/>
        <s v="CALÇOTADA"/>
        <m/>
        <s v="FOOD LOVERS"/>
        <s v="BARBACOA"/>
        <s v="BLAYET"/>
        <s v="PARADETES"/>
        <s v="COPA DE CAVA"/>
        <s v="FAMILY DAY"/>
        <s v="FIRA"/>
        <s v="FULL DAY"/>
        <s v="TAPES + CAVA"/>
        <s v="TAPES"/>
        <s v="POOL PARTY"/>
        <s v="SUMMER PARTY"/>
        <s v="PAELLA" u="1"/>
        <s v="SOPAR" u="1"/>
        <s v="DINAR" u="1"/>
        <s v="CALÇOTS" u="1"/>
      </sharedItems>
    </cacheField>
    <cacheField name="LLOC DEL SERVEI" numFmtId="0">
      <sharedItems containsBlank="1" count="153">
        <s v="MASIA ROSAS"/>
        <s v="GRÍFOLS"/>
        <s v="AXA"/>
        <s v="CODORNIU"/>
        <s v="TIK TOK CODORNIU"/>
        <s v="MUSEU MARÍTIM"/>
        <s v="TORRE AGBAR"/>
        <s v="CASA CORBERA"/>
        <s v="POBLE ESPANYOL"/>
        <s v="LA PALOMA"/>
        <s v="EXÒTICA"/>
        <s v="MASIA ESPLUGUES"/>
        <s v="SOLSONA "/>
        <s v="CLOS LA PLANA"/>
        <s v="FABRICA DAMM"/>
        <s v="SIMON"/>
        <s v="LA PEDRERA"/>
        <s v="MIRADOR"/>
        <s v="CASA DEL MAR"/>
        <s v="GO BEACH"/>
        <s v="BROOKLING"/>
        <s v="MARINA PORT VELL"/>
        <s v="CIRCUIT CATALUNYA"/>
        <s v="DFACTORY"/>
        <s v="CAN BOSCH"/>
        <s v="PARC MOTOR"/>
        <s v="CAN PARELLADA"/>
        <s v="FOOD LOVERS"/>
        <s v="ATMETLLER"/>
        <s v="RESTAURANTS"/>
        <s v="TERRAZA MIRAMAR"/>
        <s v="DOWNTOWN"/>
        <s v="NAUTIC"/>
        <s v="AT ROCA"/>
        <s v="CLINICA PLANES"/>
        <s v="RAVENTOS I BLANC"/>
        <s v="FC BARCELONA"/>
        <s v="JUVE i CAMPS"/>
        <s v="TARRACO BOXE"/>
        <s v="AGO GRANOLLERS"/>
        <s v="LLOTJA DE MAR"/>
        <s v="MEDIAPRO"/>
        <s v="HOSPITAL SANT PAU"/>
        <s v="FANUC"/>
        <s v="CASA DE LES PUNXES"/>
        <s v="DAMM"/>
        <s v="19TH HOLE"/>
        <s v="RECINTE MODERNISTA"/>
        <s v="CASTELL PENYAFORT"/>
        <s v="FCB"/>
        <s v="GRÍFOLS ST. CUGAT"/>
        <s v="TARRACO CARNESTOLTES"/>
        <s v="TARRACO FREESTLYLE"/>
        <s v="FUNDACIÓ TÀPIES"/>
        <s v="TORRE COLON"/>
        <s v="EXOTICA"/>
        <s v="JUNO"/>
        <s v="REVLON"/>
        <s v="CASA BATLLÓ"/>
        <s v="CAIXABANK"/>
        <s v="TITUS BADALONA"/>
        <s v="PLAU OLIMPIC"/>
        <s v="ARBOÇ"/>
        <s v="ASTORIA"/>
        <s v="CAMBRA BCN"/>
        <s v="HOSPITAL SITGES"/>
        <s v="ACLAM"/>
        <s v="FONT DE LA CANYA"/>
        <s v="FORUM GIRONA"/>
        <s v="ALIMENTARIA"/>
        <s v="TORREBELLESGUARD"/>
        <s v="JARDINS MARIMURTRA"/>
        <s v="MAS DE LA RIERA"/>
        <s v="PARTICULAR DE SITGES"/>
        <s v="MAS COLOM"/>
        <s v="JOSEP MASACHS"/>
        <s v="DRASSANES"/>
        <s v="GRIFOLS"/>
        <s v="VINSEUM"/>
        <s v="AQUARIUM"/>
        <s v="ELS CASSOTS"/>
        <s v="ESPIELLS"/>
        <s v="MUSEU PICASSO"/>
        <s v="MUSEU BLAU"/>
        <s v="TECH BCN PIER 01"/>
        <s v="CONVENT DELS ANGELS"/>
        <s v="CORNELLÀ"/>
        <s v="FIRA PESCAPUERTA"/>
        <s v="PORT VELL"/>
        <s v="CAVES LLOPART"/>
        <s v="TARRACO"/>
        <s v="GESTAMP"/>
        <s v="LA CAPELLA"/>
        <s v="MERCABARNA"/>
        <s v="MASIA FORELLACHS"/>
        <s v="BARCELONA"/>
        <s v="COLEGI INFERMERIA"/>
        <s v="J&amp;C ESPIELLS"/>
        <s v="CAN VITAL"/>
        <s v="EL MONTANYÀ"/>
        <s v="CASA VELLA"/>
        <s v="GRÍFOLS  SANT CUGAT"/>
        <s v="GRÍFOLS PARETS"/>
        <s v="MAS CABANYES"/>
        <s v="CINES DIAGONAL"/>
        <s v="IGUALADA"/>
        <s v="VENDRELL"/>
        <s v="TORREBLANCA"/>
        <s v="GRANOLLERS"/>
        <s v="TORRE BELLESGUARD"/>
        <s v="GRÍFOLS SANT CUGAT"/>
        <s v="BORSA BCN"/>
        <s v="UB CENTRAL "/>
        <s v="AUGUSTUS"/>
        <s v="MASIA EGARA"/>
        <s v="SALLE BONANOVA"/>
        <s v="GARRIGA CASTELLADRAL"/>
        <s v="CAN LLEÓ"/>
        <s v="MAS BELL"/>
        <s v="CIM BCN"/>
        <s v="CAN SUMOI"/>
        <s v="TNC JARDINS"/>
        <s v="PAVELLÓ CORNELLÀ"/>
        <s v="JEAN LEON"/>
        <s v="CAN FARRES"/>
        <s v="BCN"/>
        <s v="MAS GROC"/>
        <s v="CAVES ROVELLATS"/>
        <s v="CASA VICENS"/>
        <s v="FREIXENET"/>
        <s v="EL NAUTIC"/>
        <s v="TIBIDABO"/>
        <s v="COFRADIA DEL CAVA"/>
        <s v="TEKNON"/>
        <s v="FUNDACIÓ MIRÓ"/>
        <s v="SANT BOI"/>
        <s v="CULLERE I SALA"/>
        <s v="VALLFORMOSA"/>
        <s v="MARIMURTRA"/>
        <s v="CASTELLBISBAL"/>
        <s v="VILARNAU"/>
        <s v="MASIA ROSES"/>
        <m/>
        <s v="SANT PAUL SCHOOL"/>
        <s v="PARC SAMA"/>
        <s v="CASTELLCIUTAT"/>
        <s v="MAS ROSSET"/>
        <s v="FIRA BARCELONA"/>
        <s v="COL.LEGI INFERMERS"/>
        <s v="GERMANS BOADA"/>
        <s v="EL MUNT"/>
        <s v="MAS CASANOVAS"/>
        <s v="SEU MAIEUTIKE"/>
      </sharedItems>
    </cacheField>
    <cacheField name="NOM DEL SERVEI" numFmtId="0">
      <sharedItems containsBlank="1"/>
    </cacheField>
    <cacheField name="GESTIÓ LOGÍSTICA" numFmtId="0">
      <sharedItems containsSemiMixedTypes="0" containsString="0" containsNumber="1" minValue="0" maxValue="1855.0837999433716"/>
    </cacheField>
    <cacheField name="PREPARACIÓ" numFmtId="0">
      <sharedItems containsSemiMixedTypes="0" containsString="0" containsNumber="1" minValue="0" maxValue="2126.8027494646512"/>
    </cacheField>
    <cacheField name="PERSONAL DE RENTAT" numFmtId="0">
      <sharedItems containsSemiMixedTypes="0" containsString="0" containsNumber="1" minValue="0" maxValue="1514.39339574529"/>
    </cacheField>
    <cacheField name="COMPLEMENT_x000a_RESPONSABLE EVENT" numFmtId="0">
      <sharedItems containsSemiMixedTypes="0" containsString="0" containsNumber="1" containsInteger="1" minValue="0" maxValue="100"/>
    </cacheField>
    <cacheField name="PERSONAL SERVEI_x000a_LOGÍSTICS" numFmtId="0">
      <sharedItems containsSemiMixedTypes="0" containsString="0" containsNumber="1" minValue="0" maxValue="8"/>
    </cacheField>
    <cacheField name="HORES SERVEI" numFmtId="0">
      <sharedItems containsString="0" containsBlank="1" containsNumber="1" minValue="0" maxValue="21.75"/>
    </cacheField>
    <cacheField name="PERSONAL TRANSPORT_x000a_LOGÍSTICS" numFmtId="0">
      <sharedItems containsSemiMixedTypes="0" containsString="0" containsNumber="1" containsInteger="1" minValue="0" maxValue="22"/>
    </cacheField>
    <cacheField name="HORES" numFmtId="0">
      <sharedItems containsSemiMixedTypes="0" containsString="0" containsNumber="1" minValue="0" maxValue="10"/>
    </cacheField>
    <cacheField name="TOTAL HORES" numFmtId="0">
      <sharedItems containsSemiMixedTypes="0" containsString="0" containsNumber="1" minValue="0" maxValue="186"/>
    </cacheField>
    <cacheField name="LLOGUER_x000a_VEHICLES" numFmtId="0">
      <sharedItems containsString="0" containsBlank="1" containsNumber="1" minValue="0" maxValue="242.92000000000002"/>
    </cacheField>
    <cacheField name="MANTENIMENT_x000a_VEHICLES" numFmtId="0">
      <sharedItems containsSemiMixedTypes="0" containsString="0" containsNumber="1" minValue="0" maxValue="118.91"/>
    </cacheField>
    <cacheField name="CAMIONS_x000a_GRAN" numFmtId="0">
      <sharedItems containsString="0" containsBlank="1" containsNumber="1" containsInteger="1" minValue="0" maxValue="20"/>
    </cacheField>
    <cacheField name="KM" numFmtId="0">
      <sharedItems containsSemiMixedTypes="0" containsString="0" containsNumber="1" containsInteger="1" minValue="0" maxValue="320"/>
    </cacheField>
    <cacheField name="CAMIONS_x000a_CUINA" numFmtId="0">
      <sharedItems containsString="0" containsBlank="1" containsNumber="1" containsInteger="1" minValue="0" maxValue="20"/>
    </cacheField>
    <cacheField name="KM2" numFmtId="0">
      <sharedItems containsSemiMixedTypes="0" containsString="0" containsNumber="1" containsInteger="1" minValue="0" maxValue="320"/>
    </cacheField>
    <cacheField name="CAMIONS_x000a_PETIT" numFmtId="0">
      <sharedItems containsString="0" containsBlank="1" containsNumber="1" containsInteger="1" minValue="0" maxValue="22"/>
    </cacheField>
    <cacheField name="KM3" numFmtId="0">
      <sharedItems containsSemiMixedTypes="0" containsString="0" containsNumber="1" minValue="0" maxValue="320"/>
    </cacheField>
    <cacheField name="TOTAL _x000a_KM" numFmtId="0">
      <sharedItems containsSemiMixedTypes="0" containsString="0" containsNumber="1" containsInteger="1" minValue="0" maxValue="4140"/>
    </cacheField>
    <cacheField name="TOTAL COST " numFmtId="6">
      <sharedItems containsSemiMixedTypes="0" containsString="0" containsNumber="1" minValue="0" maxValue="10292.953945153313"/>
    </cacheField>
    <cacheField name="FACTURACIO" numFmtId="164">
      <sharedItems containsString="0" containsBlank="1" containsNumber="1" minValue="0" maxValue="415000"/>
    </cacheField>
    <cacheField name="%" numFmtId="0">
      <sharedItems containsBlank="1" containsMixedTypes="1" containsNumber="1" minValue="0" maxValue="0.22720115517607867"/>
    </cacheField>
    <cacheField name="% LOG&amp;FACT" numFmtId="0" formula="'TOTAL COST '/FACTURACIO" databaseField="0"/>
    <cacheField name="% PREPARACIÓ" numFmtId="0" formula="PREPARACIÓ/'TOTAL COST '" databaseField="0"/>
    <cacheField name="% GESTIÓ &amp; TOTAL COST" numFmtId="0" formula="'GESTIÓ LOGÍSTICA'/'TOTAL COST '" databaseField="0"/>
    <cacheField name="% RENTAT&amp;TOTAL COST" numFmtId="0" formula="'PERSONAL DE RENTAT'/'TOTAL COST '" databaseField="0"/>
    <cacheField name="IMPORT HORES EVENT" numFmtId="0" formula="'TOTAL HORES'*18" databaseField="0"/>
    <cacheField name=" % IMPORT EVENTS &amp; TOAL COST" numFmtId="0" formula="'IMPORT HORES EVENT'/'TOTAL COST '" databaseField="0"/>
    <cacheField name="%LOG" numFmtId="0" formula="'TOTAL COST '/FACTURACIO" databaseField="0"/>
    <cacheField name="Días (MESOS)" numFmtId="0" databaseField="0">
      <fieldGroup base="1">
        <rangePr groupBy="days" startDate="2024-01-01T00:00:00" endDate="2024-06-02T00:00:00"/>
        <groupItems count="368">
          <s v="&lt;01/01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06/2024"/>
        </groupItems>
      </fieldGroup>
    </cacheField>
    <cacheField name="Meses (MESOS)" numFmtId="0" databaseField="0">
      <fieldGroup base="1">
        <rangePr groupBy="months" startDate="2024-01-01T00:00:00" endDate="2024-06-02T00:00:00"/>
        <groupItems count="14">
          <s v="&lt;01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6/2024"/>
        </groupItems>
      </fieldGroup>
    </cacheField>
    <cacheField name="% COST" numFmtId="0" formula="'TOTAL COST '/FACTURACIO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d v="2024-01-04T00:00:00"/>
    <x v="0"/>
    <x v="0"/>
    <s v="EXTERN"/>
    <s v="CASAMENT"/>
    <s v="MASIA ROSAS"/>
    <s v="C - ANA i JOSEP M x 60 (JONA)"/>
    <n v="150.53160417380218"/>
    <n v="166.61611410472486"/>
    <n v="120.11763353420123"/>
    <n v="0"/>
    <n v="4"/>
    <n v="17.72"/>
    <n v="4"/>
    <n v="0"/>
    <n v="70.88"/>
    <n v="0"/>
    <n v="35.83"/>
    <n v="0"/>
    <n v="96"/>
    <n v="1"/>
    <n v="96"/>
    <n v="4"/>
    <n v="96"/>
    <n v="480"/>
    <n v="1875.9433518127282"/>
  </r>
  <r>
    <d v="2024-01-07T00:00:00"/>
    <x v="0"/>
    <x v="1"/>
    <s v="EXTERN"/>
    <s v="BANQUET"/>
    <s v="GRÍFOLS"/>
    <s v="E - Grifols dinar X 39 cristina"/>
    <n v="53.287358502296357"/>
    <n v="58.981186397953564"/>
    <n v="42.520980465963795"/>
    <n v="0"/>
    <n v="1"/>
    <n v="12.75"/>
    <n v="0"/>
    <n v="0"/>
    <n v="12.75"/>
    <n v="0"/>
    <n v="35.83"/>
    <n v="0"/>
    <n v="96"/>
    <n v="1"/>
    <n v="96"/>
    <n v="1"/>
    <n v="96"/>
    <n v="192"/>
    <n v="470.92272536621368"/>
  </r>
  <r>
    <d v="2024-01-08T00:00:00"/>
    <x v="0"/>
    <x v="1"/>
    <s v="EXTERN"/>
    <s v="COFFEE"/>
    <s v="AXA"/>
    <s v="E-AMEX coffee 250-laia"/>
    <n v="55.351039220673236"/>
    <n v="61.265374252962438"/>
    <n v="44.167707381697618"/>
    <n v="0"/>
    <n v="1"/>
    <n v="13.8"/>
    <n v="0"/>
    <n v="0"/>
    <n v="13.8"/>
    <n v="0"/>
    <n v="35.83"/>
    <n v="0"/>
    <n v="112"/>
    <n v="1"/>
    <n v="112"/>
    <n v="1"/>
    <n v="112"/>
    <n v="224"/>
    <n v="504.28452085533326"/>
  </r>
  <r>
    <d v="2024-01-09T00:00:00"/>
    <x v="0"/>
    <x v="1"/>
    <s v="EXTERN"/>
    <s v="COFFEE"/>
    <s v="AXA"/>
    <s v="E-AMEX coffee 250&amp;140-laia"/>
    <n v="56.104794944052024"/>
    <n v="62.099669817025962"/>
    <n v="44.769171467940829"/>
    <n v="0"/>
    <n v="1"/>
    <n v="12.3"/>
    <n v="0"/>
    <n v="0"/>
    <n v="12.3"/>
    <n v="0"/>
    <n v="35.83"/>
    <n v="0"/>
    <n v="112"/>
    <n v="1"/>
    <n v="112"/>
    <n v="1"/>
    <n v="112"/>
    <n v="224"/>
    <n v="479.47403622901885"/>
  </r>
  <r>
    <d v="2024-01-09T00:00:00"/>
    <x v="0"/>
    <x v="1"/>
    <s v="EXTERN"/>
    <s v="BANQUET"/>
    <s v="CODORNIU"/>
    <s v="E - Envy"/>
    <n v="103.67190370096569"/>
    <n v="114.74938987928709"/>
    <n v="82.725642929890654"/>
    <n v="0"/>
    <n v="1"/>
    <n v="10"/>
    <n v="2"/>
    <n v="3"/>
    <n v="16"/>
    <n v="0"/>
    <n v="35.83"/>
    <n v="1"/>
    <n v="20"/>
    <n v="1"/>
    <n v="20"/>
    <n v="0"/>
    <n v="20"/>
    <n v="40"/>
    <n v="635.56093651014351"/>
  </r>
  <r>
    <d v="2024-01-11T00:00:00"/>
    <x v="0"/>
    <x v="1"/>
    <s v="EXTERN"/>
    <s v="COCTEL"/>
    <s v="TIK TOK CODORNIU"/>
    <s v="E - ThevenueAgency 300 cristina"/>
    <n v="473.6952230515418"/>
    <n v="524.31021225079439"/>
    <n v="377.98806118954042"/>
    <n v="0"/>
    <n v="3"/>
    <n v="13"/>
    <n v="3"/>
    <n v="5"/>
    <n v="54"/>
    <n v="0"/>
    <n v="35.83"/>
    <n v="2"/>
    <n v="20"/>
    <n v="8"/>
    <n v="20"/>
    <n v="6"/>
    <n v="20"/>
    <n v="320"/>
    <n v="2468.4954964918766"/>
  </r>
  <r>
    <d v="2024-01-11T00:00:00"/>
    <x v="0"/>
    <x v="1"/>
    <s v="EXTERN"/>
    <s v="BANQUET"/>
    <s v="MUSEU MARÍTIM"/>
    <s v="E- BCDME cena x 270 MM"/>
    <n v="269.76649012446575"/>
    <n v="298.59141239412611"/>
    <n v="215.26185533215548"/>
    <n v="0"/>
    <n v="4"/>
    <n v="13.5"/>
    <n v="1"/>
    <n v="4"/>
    <n v="58"/>
    <n v="0"/>
    <n v="35.83"/>
    <n v="0"/>
    <n v="120"/>
    <n v="2"/>
    <n v="120"/>
    <n v="4"/>
    <n v="120"/>
    <n v="720"/>
    <n v="2053.9617578507473"/>
  </r>
  <r>
    <d v="2024-01-13T00:00:00"/>
    <x v="0"/>
    <x v="1"/>
    <s v="EXTERN"/>
    <s v="COCTEL"/>
    <s v="TORRE AGBAR"/>
    <s v="E- Sibaris Catering coctelx108 MM"/>
    <n v="147.22629994992434"/>
    <n v="162.95763355680879"/>
    <n v="117.48014538902473"/>
    <n v="0"/>
    <n v="2"/>
    <n v="13"/>
    <n v="0"/>
    <n v="0"/>
    <n v="26"/>
    <n v="0"/>
    <n v="35.83"/>
    <n v="0"/>
    <n v="132"/>
    <n v="1"/>
    <n v="132"/>
    <n v="1"/>
    <n v="132"/>
    <n v="264"/>
    <n v="1001.3484788957579"/>
  </r>
  <r>
    <d v="2024-01-14T00:00:00"/>
    <x v="0"/>
    <x v="1"/>
    <s v="EXTERN"/>
    <s v="BRUNCH"/>
    <s v="CASA CORBERA"/>
    <s v="P - NATALIE x 50 afv"/>
    <n v="25.856992452476149"/>
    <n v="28.619847828716313"/>
    <n v="20.632748589572728"/>
    <n v="0"/>
    <n v="1"/>
    <n v="10.9"/>
    <n v="0"/>
    <n v="0"/>
    <n v="10.9"/>
    <n v="0"/>
    <n v="35.83"/>
    <n v="0"/>
    <n v="88"/>
    <n v="1"/>
    <n v="88"/>
    <n v="1"/>
    <n v="88"/>
    <n v="176"/>
    <n v="353.70918887076522"/>
  </r>
  <r>
    <d v="2024-01-16T00:00:00"/>
    <x v="0"/>
    <x v="1"/>
    <s v="EXTERN"/>
    <s v="COCTEL"/>
    <s v="POBLE ESPANYOL"/>
    <s v="E-HB sopar CCTEL 300-laia"/>
    <n v="259.15536586330813"/>
    <n v="286.8464748417756"/>
    <n v="206.79464246756669"/>
    <n v="0"/>
    <n v="2"/>
    <n v="12"/>
    <n v="0"/>
    <n v="0"/>
    <n v="24"/>
    <n v="0"/>
    <n v="35.83"/>
    <n v="0"/>
    <n v="120"/>
    <n v="2"/>
    <n v="120"/>
    <n v="2"/>
    <n v="120"/>
    <n v="480"/>
    <n v="1347.6344831726503"/>
  </r>
  <r>
    <d v="2024-01-19T00:00:00"/>
    <x v="0"/>
    <x v="1"/>
    <s v="EXTERN"/>
    <s v="COCTEL"/>
    <s v="LA PALOMA"/>
    <s v="E- LAPICA sopar cctel 270-laia"/>
    <n v="199.59890636074155"/>
    <n v="220.92632533818039"/>
    <n v="159.27119371148947"/>
    <n v="0"/>
    <n v="2"/>
    <n v="11.5"/>
    <n v="4"/>
    <n v="0"/>
    <n v="23"/>
    <n v="0"/>
    <n v="35.83"/>
    <n v="0"/>
    <n v="123"/>
    <n v="1"/>
    <n v="123"/>
    <n v="2"/>
    <n v="123"/>
    <n v="369"/>
    <n v="1127.2638254104113"/>
  </r>
  <r>
    <d v="2024-01-22T00:00:00"/>
    <x v="0"/>
    <x v="1"/>
    <s v="EXTERN"/>
    <s v="COCTEL"/>
    <s v="EXÒTICA"/>
    <s v="E-EXOTICA COCKTAIL LUNCH 75 PAX AFV "/>
    <n v="63.361828203119614"/>
    <n v="70.132127108576057"/>
    <n v="50.559966473033171"/>
    <n v="0"/>
    <n v="1"/>
    <n v="10.3"/>
    <n v="0"/>
    <n v="0"/>
    <n v="10.3"/>
    <n v="0"/>
    <n v="35.83"/>
    <n v="0"/>
    <n v="122"/>
    <n v="1"/>
    <n v="122"/>
    <n v="1"/>
    <n v="122"/>
    <n v="244"/>
    <n v="469.84632178472884"/>
  </r>
  <r>
    <d v="2024-01-22T00:00:00"/>
    <x v="0"/>
    <x v="1"/>
    <s v="EXTERN"/>
    <s v="BANQUET"/>
    <s v="GRÍFOLS"/>
    <s v="E - Grifols sopar 14 cristina"/>
    <n v="22.807818814212453"/>
    <n v="25.244865773443163"/>
    <n v="18.199641444575946"/>
    <n v="0"/>
    <n v="0"/>
    <n v="0"/>
    <n v="0"/>
    <n v="0"/>
    <n v="0"/>
    <n v="0"/>
    <n v="35.83"/>
    <n v="0"/>
    <n v="96"/>
    <n v="1"/>
    <n v="96"/>
    <n v="0"/>
    <n v="96"/>
    <n v="96"/>
    <n v="127.48392603223157"/>
  </r>
  <r>
    <d v="2024-01-23T00:00:00"/>
    <x v="0"/>
    <x v="1"/>
    <s v="MASIA PROPIES"/>
    <s v="PAELLES"/>
    <s v="MASIA ESPLUGUES"/>
    <s v="E High Fidelity ccurs 55 MG"/>
    <n v="41.078467254688519"/>
    <n v="45.467758248639875"/>
    <n v="32.778819457396672"/>
    <n v="0"/>
    <n v="0"/>
    <n v="0"/>
    <n v="1"/>
    <n v="3"/>
    <n v="3"/>
    <n v="0"/>
    <n v="35.83"/>
    <n v="0"/>
    <n v="104"/>
    <n v="1"/>
    <n v="104"/>
    <n v="1"/>
    <n v="104"/>
    <n v="208"/>
    <n v="264.19184496072506"/>
  </r>
  <r>
    <d v="2024-01-23T00:00:00"/>
    <x v="0"/>
    <x v="1"/>
    <s v="EXTERN"/>
    <s v="COCTEL"/>
    <s v="SOLSONA "/>
    <s v="E- Solsona Comunicació x 200MM"/>
    <n v="236.85980822032394"/>
    <n v="262.1686060536183"/>
    <n v="189.00376302335016"/>
    <n v="0"/>
    <n v="2"/>
    <n v="12.75"/>
    <n v="0"/>
    <n v="0"/>
    <n v="25.5"/>
    <n v="0"/>
    <n v="35.83"/>
    <n v="0"/>
    <n v="116"/>
    <n v="1"/>
    <n v="116"/>
    <n v="2"/>
    <n v="116"/>
    <n v="348"/>
    <n v="1274.9429772972921"/>
  </r>
  <r>
    <d v="2024-01-24T00:00:00"/>
    <x v="0"/>
    <x v="1"/>
    <s v="EXTERN"/>
    <s v="BANQUET"/>
    <s v="CODORNIU"/>
    <s v="E Graphic PKG 150 MG"/>
    <n v="170.2414625715387"/>
    <n v="188.43199811001051"/>
    <n v="135.84523811946045"/>
    <n v="0"/>
    <n v="2"/>
    <n v="8.75"/>
    <n v="2"/>
    <n v="4"/>
    <n v="25.5"/>
    <n v="0"/>
    <n v="35.83"/>
    <n v="0"/>
    <n v="20"/>
    <n v="1"/>
    <n v="20"/>
    <n v="1"/>
    <n v="20"/>
    <n v="40"/>
    <n v="999.93269880100968"/>
  </r>
  <r>
    <d v="2024-01-24T00:00:00"/>
    <x v="0"/>
    <x v="1"/>
    <s v="MASIA PROPIES"/>
    <s v="BANQUET"/>
    <s v="MASIA ESPLUGUES"/>
    <s v="E IaG7 Mice 90 pax MG"/>
    <n v="108.27005754746733"/>
    <n v="119.838862818639"/>
    <n v="86.394768504545809"/>
    <n v="0"/>
    <n v="0"/>
    <n v="0"/>
    <n v="1"/>
    <n v="3"/>
    <n v="3"/>
    <n v="0"/>
    <n v="35.83"/>
    <n v="0"/>
    <n v="104"/>
    <n v="1"/>
    <n v="104"/>
    <n v="1"/>
    <n v="104"/>
    <n v="208"/>
    <n v="459.37048887065214"/>
  </r>
  <r>
    <d v="2024-01-24T00:00:00"/>
    <x v="0"/>
    <x v="1"/>
    <s v="MASIA PROPIES"/>
    <s v="BUFFET"/>
    <s v="CLOS LA PLANA"/>
    <s v="E-PANGEA DINNER 120 PAX afv / E-ONE EVENT GALA DINNER 165 PAX AFV"/>
    <n v="271.41304388912818"/>
    <n v="300.41390270397363"/>
    <n v="216.57573319045375"/>
    <n v="0"/>
    <n v="3"/>
    <n v="10.3"/>
    <n v="0"/>
    <n v="0"/>
    <n v="30.900000000000002"/>
    <n v="0"/>
    <n v="35.83"/>
    <n v="0"/>
    <n v="80"/>
    <n v="1"/>
    <n v="80"/>
    <n v="2"/>
    <n v="80"/>
    <n v="240"/>
    <n v="1443.9366797835555"/>
  </r>
  <r>
    <d v="2024-01-25T00:00:00"/>
    <x v="0"/>
    <x v="1"/>
    <s v="EXTERN"/>
    <s v="COFFEE"/>
    <s v="FABRICA DAMM"/>
    <s v="E - CreativeSpirits coffee MWC 100 cristina"/>
    <n v="36.492510102739921"/>
    <n v="40.391785237509055"/>
    <n v="29.119426311321508"/>
    <n v="0"/>
    <n v="1"/>
    <n v="9.9499999999999993"/>
    <n v="0"/>
    <n v="0"/>
    <n v="9.9499999999999993"/>
    <n v="0"/>
    <n v="35.83"/>
    <n v="0"/>
    <n v="120"/>
    <n v="1"/>
    <n v="120"/>
    <n v="1"/>
    <n v="120"/>
    <n v="240"/>
    <n v="384.43772165157043"/>
  </r>
  <r>
    <d v="2024-01-25T00:00:00"/>
    <x v="0"/>
    <x v="1"/>
    <s v="EXTERN"/>
    <s v="BUFFET"/>
    <s v="SIMON"/>
    <s v="E - Solsona com X 200 dinar MM"/>
    <n v="162.21603755562865"/>
    <n v="179.54904534053156"/>
    <n v="129.4413001138289"/>
    <n v="0"/>
    <n v="2"/>
    <n v="11.1"/>
    <n v="2"/>
    <n v="5.25"/>
    <n v="32.700000000000003"/>
    <n v="0"/>
    <n v="35.83"/>
    <n v="1"/>
    <n v="118"/>
    <n v="1"/>
    <n v="118"/>
    <n v="1"/>
    <n v="118"/>
    <n v="354"/>
    <n v="1189.304783009989"/>
  </r>
  <r>
    <d v="2024-01-26T00:00:00"/>
    <x v="0"/>
    <x v="1"/>
    <s v="EXTERN"/>
    <s v="COCTEL"/>
    <s v="LA PEDRERA"/>
    <s v="E -euromotivation 30 gala-laia "/>
    <n v="47.054847585685366"/>
    <n v="52.082723076975256"/>
    <n v="37.547709461590372"/>
    <n v="0"/>
    <n v="1"/>
    <n v="13.35"/>
    <n v="0"/>
    <n v="0"/>
    <n v="13.35"/>
    <n v="0"/>
    <n v="35.83"/>
    <n v="0"/>
    <n v="112"/>
    <n v="1"/>
    <n v="112"/>
    <n v="1"/>
    <n v="112"/>
    <n v="224"/>
    <n v="472.08568012425098"/>
  </r>
  <r>
    <d v="2024-01-26T00:00:00"/>
    <x v="0"/>
    <x v="1"/>
    <s v="MASIA PROPIES"/>
    <s v="PAELLES"/>
    <s v="MASIA ESPLUGUES"/>
    <s v="E - One event ccurs 140 MG"/>
    <n v="143.77463539140982"/>
    <n v="159.13715387023956"/>
    <n v="114.72586810088836"/>
    <n v="0"/>
    <n v="0"/>
    <n v="0"/>
    <n v="1"/>
    <n v="3"/>
    <n v="3"/>
    <n v="0"/>
    <n v="35.83"/>
    <n v="0"/>
    <n v="104"/>
    <n v="1"/>
    <n v="104"/>
    <n v="1"/>
    <n v="104"/>
    <n v="208"/>
    <n v="562.50445736253778"/>
  </r>
  <r>
    <d v="2024-01-26T00:00:00"/>
    <x v="0"/>
    <x v="1"/>
    <s v="EXTERN"/>
    <s v="CALÇOTADA"/>
    <s v="MIRADOR"/>
    <s v="E- EL TELER calçotada x 150 MM"/>
    <n v="44.408164867672475"/>
    <n v="49.153238652998155"/>
    <n v="35.435772459733165"/>
    <n v="0"/>
    <n v="0"/>
    <n v="0"/>
    <n v="1"/>
    <n v="2"/>
    <n v="2"/>
    <n v="0"/>
    <n v="35.83"/>
    <n v="0"/>
    <n v="26"/>
    <n v="1"/>
    <n v="26"/>
    <n v="1"/>
    <n v="26"/>
    <n v="52"/>
    <n v="214.58637598040377"/>
  </r>
  <r>
    <d v="2024-01-26T00:00:00"/>
    <x v="0"/>
    <x v="1"/>
    <s v="EXTERN"/>
    <s v="COCTEL"/>
    <s v="LA PEDRERA"/>
    <s v="E-VAUS ESTUDIO COCTEL LUNCH 190PAX AFV "/>
    <n v="190.26843502765468"/>
    <n v="210.59888024904456"/>
    <n v="151.82588584779933"/>
    <n v="0"/>
    <n v="2"/>
    <n v="13.4"/>
    <n v="0"/>
    <n v="0"/>
    <n v="26.8"/>
    <n v="0"/>
    <n v="35.83"/>
    <n v="0"/>
    <n v="112"/>
    <n v="1"/>
    <n v="112"/>
    <n v="2"/>
    <n v="112"/>
    <n v="336"/>
    <n v="1159.8288011244986"/>
  </r>
  <r>
    <d v="2024-01-27T00:00:00"/>
    <x v="0"/>
    <x v="1"/>
    <s v="EXTERN"/>
    <s v="COCTEL"/>
    <s v="LA PEDRERA"/>
    <s v="E-FRIMM coffee o cctel 100-laia"/>
    <n v="82.266704760354543"/>
    <n v="91.057015851269597"/>
    <n v="65.645230772013235"/>
    <n v="0"/>
    <n v="1"/>
    <n v="10.85"/>
    <n v="0"/>
    <n v="0"/>
    <n v="10.85"/>
    <n v="0"/>
    <n v="35.83"/>
    <n v="0"/>
    <n v="112"/>
    <n v="1"/>
    <n v="112"/>
    <n v="1"/>
    <n v="112"/>
    <n v="224"/>
    <n v="529.36935138363731"/>
  </r>
  <r>
    <d v="2024-01-27T00:00:00"/>
    <x v="0"/>
    <x v="1"/>
    <s v="MASIA PROPIES"/>
    <s v="COCTEL"/>
    <s v="MASIA ESPLUGUES"/>
    <s v="E Aggtelek cctel 250 MG"/>
    <n v="220.69918793752637"/>
    <n v="244.28120116067061"/>
    <n v="176.10829515486722"/>
    <n v="0"/>
    <n v="0"/>
    <n v="0"/>
    <n v="1"/>
    <n v="3"/>
    <n v="3"/>
    <n v="0"/>
    <n v="35.83"/>
    <n v="0"/>
    <n v="104"/>
    <n v="1"/>
    <n v="104"/>
    <n v="1"/>
    <n v="104"/>
    <n v="208"/>
    <n v="785.95548425306413"/>
  </r>
  <r>
    <d v="2024-01-27T00:00:00"/>
    <x v="0"/>
    <x v="1"/>
    <s v="EXTERN"/>
    <s v="BRUNCH"/>
    <s v="CASA CORBERA"/>
    <s v="P - NATALIE x 50 afv"/>
    <n v="25.856992452476149"/>
    <n v="28.619847828716313"/>
    <n v="20.632748589572728"/>
    <n v="0"/>
    <n v="1"/>
    <n v="10.75"/>
    <n v="0"/>
    <n v="0"/>
    <n v="10.75"/>
    <n v="0"/>
    <n v="35.83"/>
    <n v="0"/>
    <n v="88"/>
    <n v="1"/>
    <n v="88"/>
    <n v="1"/>
    <n v="88"/>
    <n v="176"/>
    <n v="351.00918887076517"/>
  </r>
  <r>
    <d v="2024-01-29T00:00:00"/>
    <x v="0"/>
    <x v="1"/>
    <s v="EXTERN"/>
    <s v="BUFFET"/>
    <s v="CASA DEL MAR"/>
    <s v="E- CSM LOTUS 250 AFV "/>
    <n v="344.87373518217714"/>
    <n v="381.72397037961434"/>
    <n v="275.19415052771626"/>
    <n v="0"/>
    <n v="4"/>
    <n v="17"/>
    <n v="0"/>
    <n v="0"/>
    <n v="68"/>
    <n v="0"/>
    <n v="35.83"/>
    <n v="0"/>
    <n v="84"/>
    <n v="1"/>
    <n v="84"/>
    <n v="4"/>
    <n v="84"/>
    <n v="420"/>
    <n v="2372.7538560895077"/>
  </r>
  <r>
    <d v="2024-01-29T00:00:00"/>
    <x v="0"/>
    <x v="1"/>
    <s v="EXTERN"/>
    <s v="COCTEL"/>
    <s v="GO BEACH"/>
    <s v="E-MICE AND TRAIN PAX A CONF AFV "/>
    <n v="0"/>
    <n v="0"/>
    <n v="0"/>
    <n v="0"/>
    <n v="1"/>
    <n v="8.3000000000000007"/>
    <n v="0"/>
    <n v="0"/>
    <n v="8.3000000000000007"/>
    <n v="0"/>
    <n v="35.83"/>
    <n v="0"/>
    <n v="0"/>
    <n v="1"/>
    <n v="130"/>
    <n v="1"/>
    <n v="130"/>
    <n v="260"/>
    <n v="254.02600000000001"/>
  </r>
  <r>
    <d v="2024-01-30T00:00:00"/>
    <x v="0"/>
    <x v="1"/>
    <s v="EXTERN"/>
    <s v="BANQUET"/>
    <s v="BROOKLING"/>
    <s v="E-Clementina 80 coffee+dinar cristina"/>
    <n v="76.497668236759623"/>
    <n v="84.67154980269278"/>
    <n v="61.041792053679316"/>
    <n v="0"/>
    <n v="1"/>
    <n v="9.5"/>
    <n v="0"/>
    <n v="0"/>
    <n v="9.5"/>
    <n v="0"/>
    <n v="35.83"/>
    <n v="0"/>
    <n v="0"/>
    <n v="1"/>
    <n v="110"/>
    <n v="1"/>
    <n v="110"/>
    <n v="220"/>
    <n v="487.25301009313171"/>
  </r>
  <r>
    <d v="2024-01-31T00:00:00"/>
    <x v="0"/>
    <x v="1"/>
    <s v="MASIA PROPIES"/>
    <s v="COCTEL"/>
    <s v="CLOS LA PLANA"/>
    <s v="E- CSM LOTUS 250 AFV "/>
    <n v="300.96563479117992"/>
    <n v="333.12422878368096"/>
    <n v="240.15740763976257"/>
    <n v="0"/>
    <n v="3"/>
    <n v="11.25"/>
    <n v="0"/>
    <n v="0"/>
    <n v="33.75"/>
    <n v="0"/>
    <n v="35.83"/>
    <n v="0"/>
    <n v="80"/>
    <n v="1"/>
    <n v="80"/>
    <n v="2"/>
    <n v="80"/>
    <n v="240"/>
    <n v="1581.0812712146235"/>
  </r>
  <r>
    <d v="2024-01-31T00:00:00"/>
    <x v="0"/>
    <x v="1"/>
    <s v="EXTERN"/>
    <s v="COCTEL"/>
    <s v="MARINA PORT VELL"/>
    <s v="E-acquera 80 cctel-laia"/>
    <n v="70.350534182020013"/>
    <n v="77.867585979262117"/>
    <n v="56.136648049365803"/>
    <n v="0"/>
    <n v="1"/>
    <n v="8"/>
    <n v="0"/>
    <n v="0"/>
    <n v="8"/>
    <n v="0"/>
    <n v="35.83"/>
    <n v="0"/>
    <n v="130"/>
    <n v="1"/>
    <n v="130"/>
    <n v="1"/>
    <n v="130"/>
    <n v="260"/>
    <n v="452.98076821064791"/>
  </r>
  <r>
    <d v="2024-01-31T00:00:00"/>
    <x v="0"/>
    <x v="1"/>
    <s v="EXTERN"/>
    <s v="BANQUET"/>
    <s v="CIRCUIT CATALUNYA"/>
    <s v="E - Formua GT coffee+Lunch 50 cristina"/>
    <n v="110.53864273433554"/>
    <n v="122.34984946776224"/>
    <n v="88.205000220423415"/>
    <n v="0"/>
    <n v="1"/>
    <n v="14.25"/>
    <n v="2"/>
    <n v="5.75"/>
    <n v="25.75"/>
    <n v="0"/>
    <n v="35.83"/>
    <n v="0"/>
    <n v="150"/>
    <n v="1"/>
    <n v="150"/>
    <n v="1"/>
    <n v="150"/>
    <n v="300"/>
    <n v="899.80349242252134"/>
  </r>
  <r>
    <d v="2024-01-31T00:00:00"/>
    <x v="0"/>
    <x v="1"/>
    <s v="EXTERN"/>
    <s v="BANQUET"/>
    <s v="DFACTORY"/>
    <s v="E- Dfactory dinar singapur x 15 MM"/>
    <n v="16.030115651079907"/>
    <n v="17.742955660982005"/>
    <n v="12.791330882677093"/>
    <n v="0"/>
    <n v="0"/>
    <n v="0"/>
    <n v="0"/>
    <n v="0"/>
    <n v="0"/>
    <n v="0"/>
    <n v="35.83"/>
    <n v="0"/>
    <n v="140"/>
    <n v="1"/>
    <n v="140"/>
    <n v="0"/>
    <n v="140"/>
    <n v="140"/>
    <n v="119.438402194739"/>
  </r>
  <r>
    <d v="2024-01-31T00:00:00"/>
    <x v="0"/>
    <x v="1"/>
    <s v="EXTERN"/>
    <s v="BANQUET"/>
    <s v="CAN BOSCH"/>
    <s v="E- Pericas x 40MM"/>
    <n v="33.175009184309019"/>
    <n v="36.719804761371876"/>
    <n v="26.472205737565009"/>
    <n v="0"/>
    <n v="0"/>
    <n v="0"/>
    <n v="1"/>
    <n v="2"/>
    <n v="2"/>
    <n v="0"/>
    <n v="35.83"/>
    <n v="0"/>
    <n v="20"/>
    <n v="1"/>
    <n v="20"/>
    <n v="0"/>
    <n v="20"/>
    <n v="20"/>
    <n v="173.48901968324589"/>
  </r>
  <r>
    <d v="2024-01-31T00:00:00"/>
    <x v="0"/>
    <x v="1"/>
    <s v="EXTERN"/>
    <s v="COFFEE"/>
    <s v="PARC MOTOR"/>
    <s v="E-VOLVO CARS 40 pax afv"/>
    <n v="556.65713940142041"/>
    <n v="616.13672401066628"/>
    <n v="444.18804039061291"/>
    <n v="0"/>
    <n v="0"/>
    <n v="0"/>
    <n v="6"/>
    <n v="3"/>
    <n v="18"/>
    <n v="0"/>
    <n v="35.83"/>
    <n v="0"/>
    <n v="42"/>
    <n v="11"/>
    <n v="42"/>
    <n v="6"/>
    <n v="42"/>
    <n v="714"/>
    <n v="2165.7363038026992"/>
  </r>
  <r>
    <d v="2024-01-31T00:00:00"/>
    <x v="0"/>
    <x v="1"/>
    <s v="MASIA PROPIES"/>
    <s v="COFFEE"/>
    <s v="CAN PARELLADA"/>
    <s v="E-VOLVO CARS 40 pax afv"/>
    <n v="224.56554011084475"/>
    <n v="248.56067840675698"/>
    <n v="179.19347501472316"/>
    <n v="0"/>
    <n v="0"/>
    <n v="0"/>
    <n v="6"/>
    <n v="3"/>
    <n v="18"/>
    <n v="0"/>
    <n v="35.83"/>
    <n v="0"/>
    <n v="42"/>
    <n v="0"/>
    <n v="42"/>
    <n v="6"/>
    <n v="42"/>
    <n v="252"/>
    <n v="1078.8288935323249"/>
  </r>
  <r>
    <d v="2024-01-31T00:00:00"/>
    <x v="0"/>
    <x v="2"/>
    <m/>
    <m/>
    <s v="FOOD LOVER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01-02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208"/>
    <n v="416"/>
    <n v="263.29360000000003"/>
  </r>
  <r>
    <d v="2024-01-03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04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05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08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09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10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11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12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13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15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17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18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19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20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22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24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25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26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27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29T00:00:00"/>
    <x v="0"/>
    <x v="3"/>
    <m/>
    <m/>
    <s v="ATMETLLER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</r>
  <r>
    <d v="2024-01-31T00:00:00"/>
    <x v="0"/>
    <x v="3"/>
    <m/>
    <m/>
    <s v="ATMETLLER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</r>
  <r>
    <d v="2024-01-02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04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09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11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16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18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23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25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1-30T00:00:00"/>
    <x v="0"/>
    <x v="4"/>
    <m/>
    <m/>
    <s v="RESTAURANTS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</r>
  <r>
    <d v="2024-02-01T00:00:00"/>
    <x v="1"/>
    <x v="1"/>
    <s v="EXTERN"/>
    <s v="BANQUET"/>
    <s v="TERRAZA MIRAMAR"/>
    <s v="E-ITB EVENTS GALA DINNER 90 PAX "/>
    <n v="315.64402220697394"/>
    <n v="329.54600212089076"/>
    <n v="245.32745332234586"/>
    <n v="0"/>
    <n v="2"/>
    <n v="11"/>
    <n v="1"/>
    <n v="2"/>
    <n v="24"/>
    <n v="0"/>
    <n v="40.630000000000003"/>
    <n v="0"/>
    <n v="120"/>
    <n v="1"/>
    <n v="120"/>
    <n v="0"/>
    <n v="120"/>
    <n v="120"/>
    <n v="1394.8994776502107"/>
  </r>
  <r>
    <d v="2024-02-01T00:00:00"/>
    <x v="1"/>
    <x v="1"/>
    <s v="EXTERN"/>
    <s v="BANQUET"/>
    <s v="CIRCUIT CATALUNYA"/>
    <s v="E - Formua GT coffee+Lunch 50 cristina"/>
    <n v="0"/>
    <n v="0"/>
    <n v="0"/>
    <n v="0"/>
    <n v="2"/>
    <n v="12.5"/>
    <n v="0"/>
    <n v="0"/>
    <n v="25"/>
    <n v="0"/>
    <n v="40.630000000000003"/>
    <n v="0"/>
    <n v="150"/>
    <n v="2"/>
    <n v="150"/>
    <n v="1"/>
    <n v="150"/>
    <n v="450"/>
    <n v="609.69999999999993"/>
  </r>
  <r>
    <d v="2024-02-02T00:00:00"/>
    <x v="1"/>
    <x v="1"/>
    <s v="EXTERN"/>
    <s v="COCTEL"/>
    <s v="DOWNTOWN"/>
    <s v="E-COCKTAIL DINNER 120 PAX AFV "/>
    <n v="56.36826149335662"/>
    <n v="58.850901378579003"/>
    <n v="43.811005650236886"/>
    <n v="0"/>
    <n v="1"/>
    <n v="13.25"/>
    <n v="1"/>
    <n v="4"/>
    <n v="17.25"/>
    <n v="0"/>
    <n v="40.630000000000003"/>
    <n v="0"/>
    <n v="96"/>
    <n v="1"/>
    <n v="96"/>
    <n v="1"/>
    <n v="96"/>
    <n v="192"/>
    <n v="560.96336852217246"/>
  </r>
  <r>
    <d v="2024-02-03T00:00:00"/>
    <x v="1"/>
    <x v="1"/>
    <s v="MASIA PROPIES"/>
    <s v="BANQUET"/>
    <s v="NAUTIC"/>
    <s v="E- CNV sopar x 70MM"/>
    <n v="53.376547938369406"/>
    <n v="55.727423117709435"/>
    <n v="41.485761337408775"/>
    <n v="0"/>
    <n v="1"/>
    <n v="8.6"/>
    <n v="0"/>
    <n v="0"/>
    <n v="8.6"/>
    <n v="0"/>
    <n v="40.630000000000003"/>
    <n v="0"/>
    <n v="80"/>
    <n v="1"/>
    <n v="80"/>
    <n v="0"/>
    <n v="80"/>
    <n v="80"/>
    <n v="367.18773239348764"/>
  </r>
  <r>
    <d v="2024-02-04T00:00:00"/>
    <x v="1"/>
    <x v="1"/>
    <s v="EXTERN"/>
    <s v="CALÇOTADA"/>
    <s v="AT ROCA"/>
    <s v="E- AT ROCA calçotadax60 MM"/>
    <n v="44.966914103923649"/>
    <n v="46.947401908801695"/>
    <n v="34.949556287324889"/>
    <n v="0"/>
    <n v="1"/>
    <n v="8.6999999999999993"/>
    <n v="0"/>
    <n v="0"/>
    <n v="8.6999999999999993"/>
    <n v="0"/>
    <n v="40.630000000000003"/>
    <n v="0"/>
    <n v="0"/>
    <n v="1"/>
    <n v="30"/>
    <n v="1"/>
    <n v="30"/>
    <n v="60"/>
    <n v="339.96987230005021"/>
  </r>
  <r>
    <d v="2024-02-05T00:00:00"/>
    <x v="1"/>
    <x v="1"/>
    <s v="EXTERN"/>
    <s v="COCTEL"/>
    <s v="CLINICA PLANES"/>
    <s v="E- GBT ref. GRP MERZ - Tour Global Face Rejuvenation x150/200MM"/>
    <n v="131.39824839373713"/>
    <n v="137.1854506892895"/>
    <n v="102.12643161768811"/>
    <n v="0"/>
    <n v="1"/>
    <n v="8.18"/>
    <n v="0"/>
    <n v="0"/>
    <n v="8.18"/>
    <n v="0"/>
    <n v="40.630000000000003"/>
    <n v="0"/>
    <n v="110"/>
    <n v="1"/>
    <n v="110"/>
    <n v="1"/>
    <n v="110"/>
    <n v="220"/>
    <n v="616.79213070071478"/>
  </r>
  <r>
    <d v="2024-02-05T00:00:00"/>
    <x v="1"/>
    <x v="1"/>
    <s v="EXTERN"/>
    <s v="BANQUET"/>
    <s v="RAVENTOS I BLANC"/>
    <s v="E- RiB sopar x 23pax MM"/>
    <n v="45.970232674193745"/>
    <n v="47.994909862142102"/>
    <n v="35.729363831261146"/>
    <n v="0"/>
    <n v="1"/>
    <n v="11.1"/>
    <n v="0"/>
    <n v="0"/>
    <n v="11.1"/>
    <n v="0"/>
    <n v="40.630000000000003"/>
    <n v="0"/>
    <n v="20"/>
    <n v="1"/>
    <n v="20"/>
    <n v="1"/>
    <n v="20"/>
    <n v="40"/>
    <n v="380.70850636759695"/>
  </r>
  <r>
    <d v="2024-02-06T00:00:00"/>
    <x v="1"/>
    <x v="1"/>
    <s v="EXTERN"/>
    <s v="BANQUET"/>
    <s v="FC BARCELONA"/>
    <s v="E FCB 12 dinar cristina"/>
    <n v="17.439500966876675"/>
    <n v="18.207592788971368"/>
    <n v="13.554472945510181"/>
    <n v="0"/>
    <n v="1"/>
    <n v="8.5500000000000007"/>
    <n v="0"/>
    <n v="0"/>
    <n v="8.5500000000000007"/>
    <n v="0"/>
    <n v="40.630000000000003"/>
    <n v="0"/>
    <n v="110"/>
    <n v="1"/>
    <n v="110"/>
    <n v="1"/>
    <n v="110"/>
    <n v="220"/>
    <n v="301.94356670135824"/>
  </r>
  <r>
    <d v="2024-02-08T00:00:00"/>
    <x v="1"/>
    <x v="1"/>
    <s v="EXTERN"/>
    <s v="BANQUET"/>
    <s v="JUVE i CAMPS"/>
    <s v="E-J&amp;C comida x 23pax MM"/>
    <n v="30.245494354687789"/>
    <n v="31.577603393425239"/>
    <n v="23.507652869932929"/>
    <n v="0"/>
    <n v="0"/>
    <n v="0"/>
    <n v="0"/>
    <n v="0"/>
    <n v="0"/>
    <n v="0"/>
    <n v="40.630000000000003"/>
    <n v="0"/>
    <n v="25"/>
    <n v="0"/>
    <n v="25"/>
    <n v="1"/>
    <n v="25"/>
    <n v="25"/>
    <n v="132.57575061804596"/>
  </r>
  <r>
    <d v="2024-02-09T00:00:00"/>
    <x v="1"/>
    <x v="2"/>
    <s v="FOOD LOVERS"/>
    <s v="FOOD LOVERS"/>
    <s v="TARRACO BOXE"/>
    <s v="A - DWT 2ND IMPACT"/>
    <n v="0"/>
    <n v="0"/>
    <n v="0"/>
    <n v="0"/>
    <n v="0"/>
    <n v="0"/>
    <n v="0"/>
    <n v="0"/>
    <n v="0"/>
    <n v="0"/>
    <n v="40.630000000000003"/>
    <n v="0"/>
    <n v="144"/>
    <n v="0"/>
    <n v="144"/>
    <n v="0"/>
    <n v="144"/>
    <n v="0"/>
    <n v="40.630000000000003"/>
  </r>
  <r>
    <d v="2024-02-10T00:00:00"/>
    <x v="1"/>
    <x v="1"/>
    <s v="MASIA PROPIES"/>
    <s v="BARBACOA"/>
    <s v="CAN PARELLADA"/>
    <s v="E- MONTSE TRES 65 PAX AFV "/>
    <n v="74.427995758218444"/>
    <n v="77.706044538706252"/>
    <n v="57.847541441089469"/>
    <n v="0"/>
    <n v="0"/>
    <n v="0"/>
    <n v="5"/>
    <n v="5"/>
    <n v="25"/>
    <n v="0"/>
    <n v="40.630000000000003"/>
    <n v="1"/>
    <n v="42"/>
    <n v="4"/>
    <n v="42"/>
    <n v="1"/>
    <n v="42"/>
    <n v="252"/>
    <n v="767.29078173801418"/>
  </r>
  <r>
    <d v="2024-02-12T00:00:00"/>
    <x v="1"/>
    <x v="1"/>
    <s v="EXTERN"/>
    <s v="BANQUET"/>
    <s v="AXA"/>
    <s v="E- BIOCAT COFFEE+CAVA 400 LAIA"/>
    <n v="223.1015657164244"/>
    <n v="232.92767762460232"/>
    <n v="173.40084113346182"/>
    <n v="0"/>
    <n v="1"/>
    <n v="10.75"/>
    <n v="0"/>
    <n v="0"/>
    <n v="10.75"/>
    <n v="0"/>
    <n v="40.630000000000003"/>
    <n v="0"/>
    <n v="112"/>
    <n v="1"/>
    <n v="112"/>
    <n v="1"/>
    <n v="112"/>
    <n v="224"/>
    <n v="922.83048447448857"/>
  </r>
  <r>
    <d v="2024-02-13T00:00:00"/>
    <x v="1"/>
    <x v="1"/>
    <s v="EXTERN"/>
    <s v="COCTEL"/>
    <s v="AGO GRANOLLERS"/>
    <s v="E-QUALITY TRAVEL COCKTAIL 180 PAX AFV"/>
    <n v="287.02207972054146"/>
    <n v="299.66345705196181"/>
    <n v="223.08167084169162"/>
    <n v="0"/>
    <n v="2"/>
    <n v="12.98"/>
    <n v="1"/>
    <n v="3"/>
    <n v="28.96"/>
    <n v="0"/>
    <n v="40.630000000000003"/>
    <n v="0"/>
    <n v="144"/>
    <n v="2"/>
    <n v="144"/>
    <n v="1"/>
    <n v="144"/>
    <n v="432"/>
    <n v="1485.9844076141951"/>
  </r>
  <r>
    <d v="2024-02-14T00:00:00"/>
    <x v="1"/>
    <x v="1"/>
    <s v="EXTERN"/>
    <s v="COCTEL"/>
    <s v="JUVE i CAMPS"/>
    <s v="E- J&amp;C coctel x 20 MM"/>
    <n v="26.305188696899755"/>
    <n v="27.463753976670201"/>
    <n v="20.445135970110542"/>
    <n v="0"/>
    <n v="0"/>
    <n v="0"/>
    <n v="0"/>
    <n v="0"/>
    <n v="0"/>
    <n v="0"/>
    <n v="40.630000000000003"/>
    <n v="0"/>
    <n v="24"/>
    <n v="1"/>
    <n v="24"/>
    <n v="0"/>
    <n v="24"/>
    <n v="24"/>
    <n v="121.1944786436805"/>
  </r>
  <r>
    <d v="2024-02-15T00:00:00"/>
    <x v="1"/>
    <x v="1"/>
    <s v="EXTERN"/>
    <s v="COCTEL"/>
    <s v="LLOTJA DE MAR"/>
    <s v="E-Fundacioi2cat 350 cocktail cristina"/>
    <n v="204.54929324433908"/>
    <n v="213.55830328738071"/>
    <n v="158.98149073013144"/>
    <n v="0"/>
    <n v="3"/>
    <n v="13.3"/>
    <n v="0"/>
    <n v="0"/>
    <n v="39.900000000000006"/>
    <n v="0"/>
    <n v="40.630000000000003"/>
    <n v="1"/>
    <n v="140"/>
    <n v="1"/>
    <n v="140"/>
    <n v="1"/>
    <n v="140"/>
    <n v="420"/>
    <n v="1447.0510872618515"/>
  </r>
  <r>
    <d v="2024-02-17T00:00:00"/>
    <x v="1"/>
    <x v="1"/>
    <s v="EXTERN"/>
    <s v="CALÇOTADA"/>
    <s v="JUVE i CAMPS"/>
    <s v="E- J&amp;C calçotada x 10MM"/>
    <n v="15.505832449628842"/>
    <n v="16.188759278897134"/>
    <n v="12.051571133560307"/>
    <n v="0"/>
    <n v="2"/>
    <n v="9.52"/>
    <n v="0"/>
    <n v="0"/>
    <n v="19.04"/>
    <n v="0"/>
    <n v="40.630000000000003"/>
    <n v="0"/>
    <n v="23"/>
    <n v="2"/>
    <n v="23"/>
    <n v="1"/>
    <n v="23"/>
    <n v="69"/>
    <n v="445.35356286208622"/>
  </r>
  <r>
    <d v="2024-02-18T00:00:00"/>
    <x v="1"/>
    <x v="1"/>
    <s v="EXTERN"/>
    <s v="BLAYET"/>
    <s v="MEDIAPRO"/>
    <s v="E- LVP MM"/>
    <n v="99.547444326617168"/>
    <n v="103.93183457051961"/>
    <n v="77.371086677457171"/>
    <n v="0"/>
    <n v="0"/>
    <n v="0"/>
    <n v="4"/>
    <n v="3"/>
    <n v="12"/>
    <n v="0"/>
    <n v="40.630000000000003"/>
    <n v="0"/>
    <n v="126"/>
    <n v="0"/>
    <n v="126"/>
    <n v="4"/>
    <n v="126"/>
    <n v="504"/>
    <n v="670.83876557459382"/>
  </r>
  <r>
    <d v="2024-02-19T00:00:00"/>
    <x v="1"/>
    <x v="1"/>
    <s v="EXTERN"/>
    <s v="COCTEL"/>
    <s v="HOSPITAL SANT PAU"/>
    <s v="E- Pure Perfection coffee+coctel x 25MM"/>
    <n v="57.772907491734763"/>
    <n v="60.317412513255569"/>
    <n v="44.902736211747637"/>
    <n v="0"/>
    <n v="2"/>
    <n v="14.75"/>
    <n v="1"/>
    <n v="2"/>
    <n v="31.5"/>
    <n v="0"/>
    <n v="40.630000000000003"/>
    <n v="0"/>
    <n v="120"/>
    <n v="1"/>
    <n v="120"/>
    <n v="1"/>
    <n v="120"/>
    <n v="240"/>
    <n v="834.12705621673797"/>
  </r>
  <r>
    <d v="2024-02-19T00:00:00"/>
    <x v="1"/>
    <x v="1"/>
    <s v="EXTERN"/>
    <s v="BANQUET"/>
    <s v="LA PEDRERA"/>
    <s v="E-Pure Perfection cena x25 MM"/>
    <n v="54.233929262054765"/>
    <n v="56.62256627783669"/>
    <n v="42.152142329499753"/>
    <n v="0"/>
    <n v="1"/>
    <n v="8.1"/>
    <n v="0"/>
    <n v="0"/>
    <n v="8.1"/>
    <n v="0"/>
    <n v="40.630000000000003"/>
    <n v="0"/>
    <n v="105"/>
    <n v="1"/>
    <n v="105"/>
    <n v="1"/>
    <n v="105"/>
    <n v="210"/>
    <n v="395.00463786939122"/>
  </r>
  <r>
    <d v="2024-02-20T00:00:00"/>
    <x v="1"/>
    <x v="1"/>
    <s v="EXTERN"/>
    <s v="COCTEL"/>
    <s v="AXA"/>
    <s v="E-JOT COFFEE+CCTEL 300-LAIA"/>
    <n v="263.14309774811301"/>
    <n v="274.73276776246024"/>
    <n v="204.52225129600873"/>
    <n v="0"/>
    <n v="1"/>
    <n v="10.15"/>
    <n v="0"/>
    <n v="0"/>
    <n v="10.15"/>
    <n v="0"/>
    <n v="40.630000000000003"/>
    <n v="0"/>
    <n v="111"/>
    <n v="1"/>
    <n v="111"/>
    <n v="1"/>
    <n v="111"/>
    <n v="222"/>
    <n v="1024.4693168065821"/>
  </r>
  <r>
    <d v="2024-02-20T00:00:00"/>
    <x v="1"/>
    <x v="1"/>
    <s v="EXTERN"/>
    <s v="BANQUET"/>
    <s v="FANUC"/>
    <s v="E - ELIPTIC x 180 mm/cb"/>
    <n v="598.23325806250386"/>
    <n v="624.58137857900317"/>
    <n v="464.96379265173732"/>
    <n v="0"/>
    <n v="2"/>
    <n v="14.45"/>
    <n v="1"/>
    <n v="7"/>
    <n v="35.9"/>
    <n v="0"/>
    <n v="40.630000000000003"/>
    <n v="0"/>
    <n v="98"/>
    <n v="2"/>
    <n v="98"/>
    <n v="2"/>
    <n v="98"/>
    <n v="392"/>
    <n v="2478.3316292932441"/>
  </r>
  <r>
    <d v="2024-02-21T00:00:00"/>
    <x v="1"/>
    <x v="1"/>
    <s v="EXTERN"/>
    <s v="COCTEL"/>
    <s v="AXA"/>
    <s v="E-JOT COFFEE+CCTEL 300-LAIA"/>
    <n v="263.14309774811301"/>
    <n v="274.73276776246024"/>
    <n v="204.52225129600873"/>
    <n v="0"/>
    <n v="2"/>
    <n v="9"/>
    <n v="2"/>
    <n v="4"/>
    <n v="26"/>
    <n v="0"/>
    <n v="40.630000000000003"/>
    <n v="1"/>
    <n v="111"/>
    <n v="0"/>
    <n v="111"/>
    <n v="2"/>
    <n v="111"/>
    <n v="333"/>
    <n v="1339.1399168065823"/>
  </r>
  <r>
    <d v="2024-02-21T00:00:00"/>
    <x v="1"/>
    <x v="1"/>
    <s v="EXTERN"/>
    <s v="COCTEL"/>
    <s v="LA PEDRERA"/>
    <s v="E - Bacus cocktail dinner 50 cristina"/>
    <n v="82.0897012039174"/>
    <n v="85.705196182396605"/>
    <n v="63.802435412966332"/>
    <n v="0"/>
    <n v="2"/>
    <n v="9"/>
    <n v="1"/>
    <n v="2"/>
    <n v="20"/>
    <n v="0"/>
    <n v="40.630000000000003"/>
    <n v="0"/>
    <n v="105"/>
    <n v="1"/>
    <n v="105"/>
    <n v="1"/>
    <n v="105"/>
    <n v="210"/>
    <n v="687.79333279928039"/>
  </r>
  <r>
    <d v="2024-02-21T00:00:00"/>
    <x v="1"/>
    <x v="1"/>
    <s v="EXTERN"/>
    <s v="PARADETES"/>
    <s v="FANUC"/>
    <s v="E - ELIPTIC x 180 mm/cb"/>
    <n v="598.23325806250386"/>
    <n v="624.58137857900317"/>
    <n v="464.96379265173732"/>
    <n v="0"/>
    <n v="2"/>
    <n v="12"/>
    <n v="0"/>
    <n v="0"/>
    <n v="24"/>
    <n v="0"/>
    <n v="40.630000000000003"/>
    <n v="0"/>
    <n v="98"/>
    <n v="2"/>
    <n v="98"/>
    <n v="1"/>
    <n v="98"/>
    <n v="294"/>
    <n v="2238.2008292932442"/>
  </r>
  <r>
    <d v="2024-02-21T00:00:00"/>
    <x v="1"/>
    <x v="1"/>
    <s v="MASIA PROPIES"/>
    <s v="CALÇOTADA"/>
    <s v="MASIA ESPLUGUES"/>
    <s v="E BMC calçotada 250 p MG"/>
    <n v="210.14963508202854"/>
    <n v="219.40530222693531"/>
    <n v="163.3342346571938"/>
    <n v="0"/>
    <n v="0"/>
    <n v="0"/>
    <n v="1"/>
    <n v="3"/>
    <n v="3"/>
    <n v="0"/>
    <n v="40.630000000000003"/>
    <n v="0"/>
    <n v="97"/>
    <n v="0"/>
    <n v="97"/>
    <n v="0"/>
    <n v="97"/>
    <n v="0"/>
    <n v="687.51917196615761"/>
  </r>
  <r>
    <d v="2024-02-22T00:00:00"/>
    <x v="1"/>
    <x v="1"/>
    <s v="EXTERN"/>
    <s v="COCTEL"/>
    <s v="CASA DE LES PUNXES"/>
    <s v="E - Cloudworks CBS coffee+cocktail 50 cristina"/>
    <n v="87.015083276152453"/>
    <n v="90.847507953340411"/>
    <n v="67.63058153774432"/>
    <n v="0"/>
    <n v="2"/>
    <n v="13.85"/>
    <n v="0"/>
    <n v="0"/>
    <n v="27.7"/>
    <n v="0"/>
    <n v="40.630000000000003"/>
    <n v="0"/>
    <n v="116"/>
    <n v="1"/>
    <n v="116"/>
    <n v="1"/>
    <n v="116"/>
    <n v="232"/>
    <n v="846.1103727672371"/>
  </r>
  <r>
    <d v="2024-02-22T00:00:00"/>
    <x v="1"/>
    <x v="1"/>
    <s v="EXTERN"/>
    <s v="BANQUET"/>
    <s v="FANUC"/>
    <s v="E - ELIPTIC x 180 mm/cb"/>
    <n v="598.23325806250386"/>
    <n v="624.58137857900317"/>
    <n v="464.96379265173732"/>
    <n v="0"/>
    <n v="1"/>
    <n v="12.25"/>
    <n v="1"/>
    <n v="4"/>
    <n v="16.25"/>
    <n v="0"/>
    <n v="40.630000000000003"/>
    <n v="0"/>
    <n v="98"/>
    <n v="1"/>
    <n v="98"/>
    <n v="1"/>
    <n v="98"/>
    <n v="196"/>
    <n v="2072.7700292932441"/>
  </r>
  <r>
    <d v="2024-02-22T00:00:00"/>
    <x v="1"/>
    <x v="1"/>
    <s v="EXTERN"/>
    <s v="BANQUET"/>
    <s v="GRÍFOLS"/>
    <s v="E - Grifols sopar 100 cristina"/>
    <n v="186.90912856340839"/>
    <n v="195.14120890774126"/>
    <n v="145.27105627583401"/>
    <n v="0"/>
    <n v="2"/>
    <n v="10"/>
    <n v="0"/>
    <n v="0"/>
    <n v="20"/>
    <n v="0"/>
    <n v="40.630000000000003"/>
    <n v="0"/>
    <n v="82"/>
    <n v="1"/>
    <n v="82"/>
    <n v="2"/>
    <n v="82"/>
    <n v="246"/>
    <n v="993.04299374698348"/>
  </r>
  <r>
    <d v="2024-02-25T00:00:00"/>
    <x v="1"/>
    <x v="1"/>
    <s v="EXTERN"/>
    <s v="BUFFET"/>
    <s v="DAMM"/>
    <s v="E-DAMM 70 coffee+buffet-laia"/>
    <n v="198.78477200424177"/>
    <n v="207.53989395546131"/>
    <n v="154.50114193224314"/>
    <n v="0"/>
    <n v="2"/>
    <n v="11"/>
    <n v="1"/>
    <n v="6.7"/>
    <n v="28.7"/>
    <n v="0"/>
    <n v="40.630000000000003"/>
    <n v="0"/>
    <n v="120"/>
    <n v="3"/>
    <n v="120"/>
    <n v="1"/>
    <n v="120"/>
    <n v="480"/>
    <n v="1245.0638078919465"/>
  </r>
  <r>
    <d v="2024-02-25T00:00:00"/>
    <x v="1"/>
    <x v="1"/>
    <s v="EXTERN"/>
    <s v="COCTEL"/>
    <s v="LA PEDRERA"/>
    <s v="E-DENTONS 100 sopar cctel-laia"/>
    <n v="152.68684423928639"/>
    <n v="159.41166489925769"/>
    <n v="118.67252986811738"/>
    <n v="0"/>
    <n v="1"/>
    <n v="9"/>
    <n v="0"/>
    <n v="0"/>
    <n v="9"/>
    <n v="0"/>
    <n v="40.630000000000003"/>
    <n v="0"/>
    <n v="105"/>
    <n v="1"/>
    <n v="105"/>
    <n v="1"/>
    <n v="105"/>
    <n v="210"/>
    <n v="688.96703900666148"/>
  </r>
  <r>
    <d v="2024-02-25T00:00:00"/>
    <x v="1"/>
    <x v="1"/>
    <s v="EXTERN"/>
    <s v="BANQUET"/>
    <s v="MARINA PORT VELL"/>
    <s v="E- MT GLOBAL 15 banquet-LAIA "/>
    <n v="80.520875803131432"/>
    <n v="84.067274655355249"/>
    <n v="62.58309998062964"/>
    <n v="0"/>
    <n v="1"/>
    <n v="11.75"/>
    <n v="0"/>
    <n v="0"/>
    <n v="11.75"/>
    <n v="0"/>
    <n v="40.630000000000003"/>
    <n v="0"/>
    <n v="130"/>
    <n v="1"/>
    <n v="130"/>
    <n v="1"/>
    <n v="130"/>
    <n v="260"/>
    <n v="548.09725043911635"/>
  </r>
  <r>
    <d v="2024-02-26T00:00:00"/>
    <x v="1"/>
    <x v="1"/>
    <s v="EXTERN"/>
    <s v="COCTEL"/>
    <s v="19TH HOLE"/>
    <s v="E- MT GLOBAL 60 CCTEL-LAIA / E WorldExerience 12 gala cristina"/>
    <n v="254.00377768074353"/>
    <n v="265.19092258748674"/>
    <n v="197.41891348669847"/>
    <n v="0"/>
    <n v="1"/>
    <n v="9.8000000000000007"/>
    <n v="2"/>
    <n v="8"/>
    <n v="25.8"/>
    <n v="0"/>
    <n v="40.630000000000003"/>
    <n v="0"/>
    <n v="125"/>
    <n v="1"/>
    <n v="125"/>
    <n v="1"/>
    <n v="125"/>
    <n v="250"/>
    <n v="1287.7936137549289"/>
  </r>
  <r>
    <d v="2024-02-27T00:00:00"/>
    <x v="1"/>
    <x v="1"/>
    <s v="EXTERN"/>
    <s v="BANQUET"/>
    <s v="RECINTE MODERNISTA"/>
    <s v="E- Viajes Andromeda cena x 26 MM"/>
    <n v="48.505892333603633"/>
    <n v="50.642248144220567"/>
    <n v="37.700150169572765"/>
    <n v="0"/>
    <n v="1"/>
    <n v="9.75"/>
    <n v="2"/>
    <n v="4"/>
    <n v="17.75"/>
    <n v="0"/>
    <n v="40.630000000000003"/>
    <n v="0"/>
    <n v="120"/>
    <n v="1"/>
    <n v="120"/>
    <n v="1"/>
    <n v="120"/>
    <n v="240"/>
    <n v="560.48229064739701"/>
  </r>
  <r>
    <d v="2024-02-27T00:00:00"/>
    <x v="1"/>
    <x v="1"/>
    <s v="EXTERN"/>
    <s v="COPA DE CAVA"/>
    <s v="CASTELL PENYAFORT"/>
    <s v="E- Consell comarcal copa cava x 50 MM"/>
    <n v="23.714802570020581"/>
    <n v="24.759278897136795"/>
    <n v="18.431814674856938"/>
    <n v="0"/>
    <n v="1"/>
    <n v="7"/>
    <n v="0"/>
    <n v="0"/>
    <n v="7"/>
    <n v="0"/>
    <n v="40.630000000000003"/>
    <n v="0"/>
    <n v="56"/>
    <n v="1"/>
    <n v="56"/>
    <n v="1"/>
    <n v="56"/>
    <n v="112"/>
    <n v="263.17109614201433"/>
  </r>
  <r>
    <d v="2024-02-28T00:00:00"/>
    <x v="1"/>
    <x v="1"/>
    <s v="EXTERN"/>
    <s v="COCTEL"/>
    <s v="FCB"/>
    <s v="E-FCB cocktail50 cristina"/>
    <n v="92.122886906618419"/>
    <n v="96.180275715800619"/>
    <n v="71.600510852328881"/>
    <n v="0"/>
    <n v="2"/>
    <n v="9.75"/>
    <n v="0"/>
    <n v="0"/>
    <n v="19.5"/>
    <n v="0"/>
    <n v="40.630000000000003"/>
    <n v="0"/>
    <n v="110"/>
    <n v="1"/>
    <n v="110"/>
    <n v="0"/>
    <n v="110"/>
    <n v="110"/>
    <n v="680.63967347474784"/>
  </r>
  <r>
    <d v="2024-02-29T00:00:00"/>
    <x v="1"/>
    <x v="1"/>
    <s v="EXTERN"/>
    <s v="COCTEL"/>
    <s v="GRÍFOLS ST. CUGAT"/>
    <s v="E - Grifols cocktail afterworks 140 cristina"/>
    <n v="80.995171854531847"/>
    <n v="84.562460233297983"/>
    <n v="62.95173627412678"/>
    <n v="0"/>
    <n v="1"/>
    <n v="7.8"/>
    <n v="0"/>
    <n v="0"/>
    <n v="7.8"/>
    <n v="0"/>
    <n v="40.630000000000003"/>
    <n v="0"/>
    <n v="83"/>
    <n v="1"/>
    <n v="83"/>
    <n v="1"/>
    <n v="83"/>
    <n v="166"/>
    <n v="453.46296836195665"/>
  </r>
  <r>
    <d v="2024-02-05T00:00:00"/>
    <x v="1"/>
    <x v="2"/>
    <s v="FOOD LOVERS"/>
    <s v="FOOD LOVERS"/>
    <s v="TARRACO CARNESTOLTES"/>
    <s v="A - DISFRESSA OR"/>
    <n v="0"/>
    <n v="0"/>
    <n v="0"/>
    <n v="0"/>
    <n v="0"/>
    <n v="0"/>
    <n v="0"/>
    <n v="0"/>
    <n v="0"/>
    <n v="0"/>
    <n v="40.630000000000003"/>
    <n v="0"/>
    <n v="0"/>
    <n v="0"/>
    <n v="0"/>
    <n v="0"/>
    <n v="0"/>
    <n v="0"/>
    <n v="180"/>
  </r>
  <r>
    <d v="2024-02-19T00:00:00"/>
    <x v="1"/>
    <x v="2"/>
    <s v="FOOD LOVERS"/>
    <s v="FOOD LOVERS"/>
    <s v="TARRACO FREESTLYLE"/>
    <m/>
    <n v="0"/>
    <n v="0"/>
    <n v="0"/>
    <n v="0"/>
    <n v="0"/>
    <n v="0"/>
    <n v="0"/>
    <n v="0"/>
    <n v="0"/>
    <n v="0"/>
    <n v="40.630000000000003"/>
    <n v="0"/>
    <n v="0"/>
    <n v="0"/>
    <n v="0"/>
    <n v="0"/>
    <n v="0"/>
    <n v="0"/>
    <n v="434"/>
  </r>
  <r>
    <d v="2024-02-01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02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03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05T00:00:00"/>
    <x v="1"/>
    <x v="3"/>
    <m/>
    <m/>
    <s v="ATMETLLER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</r>
  <r>
    <d v="2024-02-07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08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09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10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12T00:00:00"/>
    <x v="1"/>
    <x v="3"/>
    <m/>
    <m/>
    <s v="ATMETLLER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</r>
  <r>
    <d v="2024-02-14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15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16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17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19T00:00:00"/>
    <x v="1"/>
    <x v="3"/>
    <m/>
    <m/>
    <s v="ATMETLLER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</r>
  <r>
    <d v="2024-02-21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22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23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24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26T00:00:00"/>
    <x v="1"/>
    <x v="3"/>
    <m/>
    <m/>
    <s v="ATMETLLER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</r>
  <r>
    <d v="2024-02-28T00:00:00"/>
    <x v="1"/>
    <x v="3"/>
    <m/>
    <m/>
    <s v="ATMETLLER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</r>
  <r>
    <d v="2024-02-29T00:00:00"/>
    <x v="1"/>
    <x v="3"/>
    <m/>
    <m/>
    <s v="ATMETLLER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</r>
  <r>
    <d v="2024-02-01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06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08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13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15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16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20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22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27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2-29T00:00:00"/>
    <x v="1"/>
    <x v="4"/>
    <m/>
    <m/>
    <s v="RESTAURANTS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</r>
  <r>
    <d v="2024-03-01T00:00:00"/>
    <x v="2"/>
    <x v="1"/>
    <s v="EXTERN"/>
    <s v="BANQUET"/>
    <s v="FUNDACIÓ TÀPIES"/>
    <s v="E - KIVICOM banquet x 130 MM"/>
    <n v="259.40814968492748"/>
    <n v="253.16110523821914"/>
    <n v="189.31809162310645"/>
    <n v="0"/>
    <n v="2"/>
    <n v="12.75"/>
    <n v="2"/>
    <n v="6"/>
    <n v="37.5"/>
    <n v="0"/>
    <n v="109.72"/>
    <n v="2"/>
    <n v="120"/>
    <n v="1"/>
    <n v="120"/>
    <n v="1"/>
    <n v="120"/>
    <n v="480"/>
    <n v="1613.615346546253"/>
  </r>
  <r>
    <d v="2024-03-02T00:00:00"/>
    <x v="2"/>
    <x v="1"/>
    <s v="EXTERN"/>
    <s v="BLAYET"/>
    <s v="MEDIAPRO"/>
    <s v="E- LVP MM"/>
    <n v="94.534898189584482"/>
    <n v="92.258317012498622"/>
    <n v="68.992306289429905"/>
    <n v="0"/>
    <n v="0"/>
    <n v="0"/>
    <n v="3"/>
    <n v="3"/>
    <n v="9"/>
    <n v="0"/>
    <n v="109.72"/>
    <n v="0"/>
    <n v="105"/>
    <n v="0"/>
    <n v="105"/>
    <n v="3"/>
    <n v="105"/>
    <n v="315"/>
    <n v="610.85452149151297"/>
  </r>
  <r>
    <d v="2024-03-02T00:00:00"/>
    <x v="2"/>
    <x v="1"/>
    <s v="EXTERN"/>
    <s v="COCTEL"/>
    <s v="TORRE COLON"/>
    <s v="E - Spathios 50 cocktail lunch + OB cristina"/>
    <n v="133.88502591308574"/>
    <n v="130.66081839052487"/>
    <n v="97.710336523973481"/>
    <n v="0"/>
    <n v="1"/>
    <n v="16.25"/>
    <n v="0"/>
    <n v="0"/>
    <n v="16.25"/>
    <n v="0"/>
    <n v="109.72"/>
    <n v="0"/>
    <n v="120"/>
    <n v="1"/>
    <n v="120"/>
    <n v="1"/>
    <n v="120"/>
    <n v="240"/>
    <n v="827.98018082758415"/>
  </r>
  <r>
    <d v="2024-03-05T00:00:00"/>
    <x v="2"/>
    <x v="1"/>
    <s v="EXTERN"/>
    <s v="BANQUET"/>
    <s v="FCB"/>
    <s v="E - OpticaUniversitaria sopar 200 cristina"/>
    <n v="357.15916408268271"/>
    <n v="348.55808822872956"/>
    <n v="260.65754461439809"/>
    <n v="0"/>
    <n v="3"/>
    <n v="12"/>
    <n v="2"/>
    <n v="4"/>
    <n v="44"/>
    <n v="0"/>
    <n v="109.72"/>
    <n v="1"/>
    <n v="110"/>
    <n v="2"/>
    <n v="110"/>
    <n v="1"/>
    <n v="110"/>
    <n v="440"/>
    <n v="1984.5187969258104"/>
  </r>
  <r>
    <d v="2024-03-05T00:00:00"/>
    <x v="2"/>
    <x v="1"/>
    <s v="EXTERN"/>
    <s v="COCTEL"/>
    <s v="GRÍFOLS"/>
    <s v="E - Grifols 40 cocktail cristina"/>
    <n v="42.150040657673451"/>
    <n v="41.134987053001183"/>
    <n v="30.761428539693785"/>
    <n v="0"/>
    <n v="1"/>
    <n v="7.59"/>
    <n v="0"/>
    <n v="0"/>
    <n v="7.59"/>
    <n v="0"/>
    <n v="109.72"/>
    <n v="0"/>
    <n v="83"/>
    <n v="1"/>
    <n v="83"/>
    <n v="1"/>
    <n v="83"/>
    <n v="166"/>
    <n v="404.31005625036846"/>
  </r>
  <r>
    <d v="2024-03-06T00:00:00"/>
    <x v="2"/>
    <x v="1"/>
    <s v="MASIA PROPIES"/>
    <s v="COCTEL"/>
    <s v="CLOS LA PLANA"/>
    <s v="E - GRUPO RIC - ICCA 100 PAX AFV "/>
    <n v="185.39964023572705"/>
    <n v="180.93486226185442"/>
    <n v="135.30610398967644"/>
    <n v="0"/>
    <n v="2"/>
    <n v="8.5"/>
    <n v="0"/>
    <n v="0"/>
    <n v="17"/>
    <n v="0"/>
    <n v="109.72"/>
    <n v="0"/>
    <n v="80"/>
    <n v="1"/>
    <n v="80"/>
    <n v="1"/>
    <n v="80"/>
    <n v="160"/>
    <n v="959.6966064872579"/>
  </r>
  <r>
    <d v="2024-03-08T00:00:00"/>
    <x v="2"/>
    <x v="1"/>
    <s v="EXTERN"/>
    <s v="BANQUET"/>
    <s v="EXOTICA"/>
    <s v="E-EXOTICA COFFEE + BANQUET AFV "/>
    <n v="19.448043894115042"/>
    <n v="18.979697796447585"/>
    <n v="14.193334173610957"/>
    <n v="0"/>
    <n v="1"/>
    <n v="10"/>
    <n v="0"/>
    <n v="0"/>
    <n v="10"/>
    <n v="0"/>
    <n v="109.72"/>
    <n v="0"/>
    <n v="122"/>
    <n v="1"/>
    <n v="122"/>
    <n v="1"/>
    <n v="122"/>
    <n v="244"/>
    <n v="406.90347586417352"/>
  </r>
  <r>
    <d v="2024-03-12T00:00:00"/>
    <x v="2"/>
    <x v="1"/>
    <s v="EXTERN"/>
    <s v="BANQUET"/>
    <s v="CODORNIU"/>
    <s v="E - liquid x 50 sopar CB-laia"/>
    <n v="78.70025544700249"/>
    <n v="76.805002756052488"/>
    <n v="57.436060469087138"/>
    <n v="0"/>
    <n v="1"/>
    <n v="7"/>
    <n v="0"/>
    <n v="0"/>
    <n v="7"/>
    <n v="0"/>
    <n v="109.72"/>
    <n v="0"/>
    <n v="20"/>
    <n v="1"/>
    <n v="20"/>
    <n v="1"/>
    <n v="20"/>
    <n v="40"/>
    <n v="459.24531867214216"/>
  </r>
  <r>
    <d v="2024-03-13T00:00:00"/>
    <x v="2"/>
    <x v="1"/>
    <s v="EXTERN"/>
    <s v="COPA DE CAVA"/>
    <s v="FCB"/>
    <s v="E - Fcb copa cava 150 cristina"/>
    <n v="87.024320926973914"/>
    <n v="84.92860881678881"/>
    <n v="63.511028403317511"/>
    <n v="0"/>
    <n v="1"/>
    <n v="7"/>
    <n v="0"/>
    <n v="0"/>
    <n v="7"/>
    <n v="0"/>
    <n v="109.72"/>
    <m/>
    <n v="110"/>
    <m/>
    <n v="110"/>
    <m/>
    <n v="110"/>
    <n v="0"/>
    <n v="471.18395814708026"/>
  </r>
  <r>
    <d v="2024-03-13T00:00:00"/>
    <x v="2"/>
    <x v="1"/>
    <s v="EXTERN"/>
    <s v="PAELLES"/>
    <s v="CODORNIU"/>
    <s v="E-MAXIMICE CONCURS PAELLES 250 PAX AFV "/>
    <n v="474.56632401155235"/>
    <n v="463.13785916720593"/>
    <n v="346.34220597765648"/>
    <n v="0"/>
    <n v="3"/>
    <n v="15.5"/>
    <n v="2"/>
    <n v="2"/>
    <n v="50.5"/>
    <n v="0"/>
    <n v="109.72"/>
    <n v="1"/>
    <n v="20"/>
    <n v="1"/>
    <n v="20"/>
    <n v="2"/>
    <n v="20"/>
    <n v="80"/>
    <n v="2323.9343891564145"/>
  </r>
  <r>
    <d v="2024-03-14T00:00:00"/>
    <x v="2"/>
    <x v="1"/>
    <s v="EXTERN"/>
    <s v="COCTEL"/>
    <s v="MARINA PORT VELL"/>
    <s v="E-INTERBAR 275 CCTEL -LAIA"/>
    <n v="514.44616499286985"/>
    <n v="502.05731729455169"/>
    <n v="375.44682508074192"/>
    <n v="0"/>
    <n v="3"/>
    <n v="8.5"/>
    <n v="2"/>
    <n v="4"/>
    <n v="33.5"/>
    <n v="0"/>
    <n v="109.72"/>
    <n v="2"/>
    <n v="130"/>
    <n v="1"/>
    <n v="130"/>
    <n v="1"/>
    <n v="130"/>
    <n v="520"/>
    <n v="2242.2623073681634"/>
  </r>
  <r>
    <d v="2024-03-14T00:00:00"/>
    <x v="2"/>
    <x v="1"/>
    <s v="MASIA PROPIES"/>
    <s v="COPA DE CAVA"/>
    <s v="JUNO"/>
    <s v="E-CONSOLAT ITALIA_ 80 pax_COPA CAVA_noa"/>
    <n v="50.663289444007859"/>
    <n v="49.443220524208783"/>
    <n v="36.974463926974842"/>
    <n v="0"/>
    <n v="0"/>
    <n v="0"/>
    <n v="0"/>
    <n v="0"/>
    <n v="0"/>
    <n v="0"/>
    <n v="109.72"/>
    <n v="0"/>
    <n v="0"/>
    <n v="0"/>
    <n v="0"/>
    <n v="0"/>
    <n v="0"/>
    <n v="0"/>
    <n v="246.80097389519148"/>
  </r>
  <r>
    <d v="2024-03-14T00:00:00"/>
    <x v="2"/>
    <x v="1"/>
    <s v="EXTERN"/>
    <s v="BANQUET"/>
    <s v="REVLON"/>
    <s v="E_UAYEVENTS_69 pax_ coffe + dinar noa"/>
    <n v="101.02388559783493"/>
    <n v="98.591037191663517"/>
    <n v="73.72801992906858"/>
    <n v="0"/>
    <n v="1"/>
    <n v="13.25"/>
    <n v="0"/>
    <n v="0"/>
    <n v="13.25"/>
    <n v="0"/>
    <n v="109.72"/>
    <n v="0"/>
    <n v="94"/>
    <n v="1"/>
    <n v="94"/>
    <n v="1"/>
    <n v="94"/>
    <n v="188"/>
    <n v="671.30774271856706"/>
  </r>
  <r>
    <d v="2024-03-14T00:00:00"/>
    <x v="2"/>
    <x v="1"/>
    <s v="EXTERN"/>
    <s v="BANQUET"/>
    <s v="CASA BATLLÓ"/>
    <s v="E_UAYEVENTS_69 pax_ cena banquete_noa"/>
    <n v="124.52045224811789"/>
    <n v="121.5217615721965"/>
    <n v="90.875997597964314"/>
    <n v="0"/>
    <n v="1"/>
    <n v="10"/>
    <n v="3"/>
    <n v="4"/>
    <n v="22"/>
    <n v="0"/>
    <n v="109.72"/>
    <n v="1"/>
    <n v="106"/>
    <n v="1"/>
    <n v="106"/>
    <n v="1"/>
    <n v="106"/>
    <n v="318"/>
    <n v="926.78101141827881"/>
  </r>
  <r>
    <d v="2024-03-14T00:00:00"/>
    <x v="2"/>
    <x v="1"/>
    <s v="EXTERN"/>
    <s v="COCTEL"/>
    <s v="JUVE i CAMPS"/>
    <s v="E- J&amp;C dinar coctel x 19 MM"/>
    <n v="33.296261919885673"/>
    <n v="32.494424242945279"/>
    <n v="24.299871736921482"/>
    <n v="0"/>
    <n v="0"/>
    <n v="0"/>
    <n v="0"/>
    <n v="0"/>
    <n v="0"/>
    <n v="0"/>
    <n v="109.72"/>
    <n v="0"/>
    <n v="24"/>
    <n v="1"/>
    <n v="24"/>
    <n v="0"/>
    <n v="24"/>
    <n v="24"/>
    <n v="206.16095789975245"/>
  </r>
  <r>
    <d v="2004-03-15T00:00:00"/>
    <x v="2"/>
    <x v="1"/>
    <s v="EXTERN"/>
    <s v="COFFEE"/>
    <s v="CAIXABANK"/>
    <s v="E- CAIXABANK coffees x 100+8vip MM"/>
    <n v="57.890091747073953"/>
    <n v="56.495987604211678"/>
    <n v="42.248640633511215"/>
    <n v="0"/>
    <n v="1"/>
    <n v="8.5500000000000007"/>
    <n v="0"/>
    <n v="0"/>
    <n v="8.5500000000000007"/>
    <n v="0"/>
    <n v="109.72"/>
    <n v="0"/>
    <n v="103"/>
    <n v="1"/>
    <n v="103"/>
    <n v="0"/>
    <n v="103"/>
    <n v="103"/>
    <n v="447.50851998479686"/>
  </r>
  <r>
    <d v="2024-03-15T00:00:00"/>
    <x v="2"/>
    <x v="1"/>
    <s v="EXTERN"/>
    <s v="COCTEL"/>
    <s v="TITUS BADALONA"/>
    <s v="E- Las Gamundinas cocktail 700 cristina"/>
    <n v="400.59565122362443"/>
    <n v="390.94854167293539"/>
    <n v="292.35783183483653"/>
    <n v="0"/>
    <n v="2"/>
    <n v="11.5"/>
    <n v="0"/>
    <n v="0"/>
    <n v="23"/>
    <n v="0"/>
    <n v="109.72"/>
    <n v="1"/>
    <n v="140"/>
    <n v="3"/>
    <n v="140"/>
    <n v="2"/>
    <n v="140"/>
    <n v="840"/>
    <n v="1829.8860247313964"/>
  </r>
  <r>
    <d v="2024-03-15T00:00:00"/>
    <x v="2"/>
    <x v="1"/>
    <s v="EXTERN"/>
    <s v="COCTEL"/>
    <s v="JUVE i CAMPS"/>
    <s v="E- J&amp;C dinar coctel x 10 MM"/>
    <n v="18.558882354209"/>
    <n v="18.111948967232568"/>
    <n v="13.544417144272712"/>
    <n v="0"/>
    <n v="0"/>
    <n v="0"/>
    <n v="0"/>
    <n v="0"/>
    <n v="0"/>
    <n v="0"/>
    <n v="109.72"/>
    <n v="0"/>
    <n v="24"/>
    <n v="1"/>
    <n v="24"/>
    <n v="0"/>
    <n v="24"/>
    <n v="24"/>
    <n v="166.28564846571427"/>
  </r>
  <r>
    <d v="2024-03-16T00:00:00"/>
    <x v="2"/>
    <x v="1"/>
    <s v="EXTERN"/>
    <s v="COCTEL"/>
    <s v="PLAU OLIMPIC"/>
    <s v="E - Las Gamundinas cocktail sopar 700 cristina"/>
    <n v="669.70890452497315"/>
    <n v="653.58103306833118"/>
    <n v="488.75878379944339"/>
    <n v="0"/>
    <n v="5"/>
    <n v="16"/>
    <n v="1"/>
    <n v="8.5"/>
    <n v="88.5"/>
    <n v="0"/>
    <n v="109.72"/>
    <n v="1"/>
    <n v="140"/>
    <n v="3"/>
    <n v="140"/>
    <n v="2"/>
    <n v="140"/>
    <n v="840"/>
    <n v="3737.0327213927476"/>
  </r>
  <r>
    <d v="2024-03-16T00:00:00"/>
    <x v="2"/>
    <x v="0"/>
    <s v="MASIA PROPIES"/>
    <s v="CASAMENT"/>
    <s v="CLOS LA PLANA"/>
    <s v="C 160324 MONICA i EDUARD "/>
    <n v="608.73190876797435"/>
    <n v="594.07248000745972"/>
    <n v="444.25729653450412"/>
    <n v="0"/>
    <n v="1"/>
    <n v="14.3"/>
    <n v="1"/>
    <n v="4"/>
    <n v="18.3"/>
    <n v="0"/>
    <n v="109.72"/>
    <n v="0"/>
    <n v="80"/>
    <n v="1"/>
    <n v="80"/>
    <n v="1"/>
    <n v="80"/>
    <n v="160"/>
    <n v="2128.5176853099383"/>
  </r>
  <r>
    <d v="2024-03-17T00:00:00"/>
    <x v="2"/>
    <x v="1"/>
    <s v="EXTERN"/>
    <s v="FAMILY DAY"/>
    <s v="ARBOÇ"/>
    <s v="E- SAINT-GOBAIN family dayx420 MM"/>
    <n v="225.12813457195423"/>
    <n v="219.70661846082319"/>
    <n v="164.30026913032137"/>
    <n v="0"/>
    <n v="1"/>
    <n v="11.55"/>
    <n v="4"/>
    <n v="3"/>
    <n v="23.55"/>
    <n v="0"/>
    <n v="109.72"/>
    <n v="0"/>
    <n v="75"/>
    <n v="1"/>
    <n v="75"/>
    <n v="2"/>
    <n v="75"/>
    <n v="225"/>
    <n v="1202.2900221630989"/>
  </r>
  <r>
    <d v="2024-03-20T00:00:00"/>
    <x v="2"/>
    <x v="1"/>
    <s v="EXTERN"/>
    <s v="BANQUET"/>
    <s v="CODORNIU"/>
    <s v="E-CALDIC GALA DINNER 125 afv"/>
    <n v="238.54123099309001"/>
    <n v="232.79670186323696"/>
    <n v="174.08925155161532"/>
    <n v="0"/>
    <n v="3"/>
    <n v="10"/>
    <n v="3"/>
    <n v="2"/>
    <n v="36"/>
    <n v="0"/>
    <n v="109.72"/>
    <n v="3"/>
    <n v="20"/>
    <n v="2"/>
    <n v="20"/>
    <n v="2"/>
    <n v="20"/>
    <n v="140"/>
    <n v="1440.1911844079423"/>
  </r>
  <r>
    <d v="2024-03-20T00:00:00"/>
    <x v="2"/>
    <x v="1"/>
    <s v="EXTERN"/>
    <s v="COCTEL"/>
    <s v="ASTORIA"/>
    <s v="E - Mut cocktail dinner 150 cristina"/>
    <n v="187.29147329935691"/>
    <n v="182.78113636656721"/>
    <n v="136.68677852018334"/>
    <n v="0"/>
    <n v="1"/>
    <n v="10.9"/>
    <n v="0"/>
    <n v="0"/>
    <n v="10.9"/>
    <n v="0"/>
    <n v="109.72"/>
    <n v="0"/>
    <n v="102"/>
    <n v="1"/>
    <n v="102"/>
    <n v="1"/>
    <n v="102"/>
    <n v="204"/>
    <n v="866.6577881861075"/>
  </r>
  <r>
    <d v="2024-03-20T00:00:00"/>
    <x v="2"/>
    <x v="1"/>
    <s v="EXTERN"/>
    <s v="COCTEL"/>
    <s v="CAMBRA BCN"/>
    <s v="E - CambraBcn 30 cocktail dinar cristina"/>
    <n v="28.282904301266523"/>
    <n v="27.601797865456362"/>
    <n v="20.641084231078192"/>
    <n v="0"/>
    <n v="0"/>
    <n v="0"/>
    <n v="0"/>
    <n v="0"/>
    <n v="0"/>
    <n v="0"/>
    <n v="109.72"/>
    <n v="0"/>
    <n v="104"/>
    <n v="0"/>
    <n v="104"/>
    <n v="1"/>
    <n v="104"/>
    <n v="104"/>
    <n v="213.76418639780107"/>
  </r>
  <r>
    <d v="2024-03-21T00:00:00"/>
    <x v="2"/>
    <x v="1"/>
    <s v="EXTERN"/>
    <s v="COFFEE"/>
    <s v="LA PEDRERA"/>
    <s v="E-SOLSONA COMUNICACIO coffeex70 MM"/>
    <n v="36.833989748873528"/>
    <n v="35.946956818758217"/>
    <n v="26.881733108969392"/>
    <n v="0"/>
    <n v="1"/>
    <n v="10"/>
    <n v="0"/>
    <n v="0"/>
    <n v="10"/>
    <n v="0"/>
    <n v="109.72"/>
    <n v="0"/>
    <n v="106"/>
    <n v="1"/>
    <n v="106"/>
    <n v="1"/>
    <n v="106"/>
    <n v="212"/>
    <n v="445.47787967660111"/>
  </r>
  <r>
    <d v="2024-03-21T00:00:00"/>
    <x v="2"/>
    <x v="1"/>
    <s v="EXTERN"/>
    <s v="COCTEL"/>
    <s v="CASA BATLLÓ"/>
    <s v="E - BACUS x 70 CO"/>
    <n v="97.996952696027137"/>
    <n v="95.636998624123038"/>
    <n v="71.518940680257543"/>
    <n v="0"/>
    <n v="1"/>
    <n v="10"/>
    <n v="0"/>
    <n v="0"/>
    <n v="10"/>
    <n v="0"/>
    <n v="109.72"/>
    <n v="0"/>
    <n v="105"/>
    <n v="1"/>
    <n v="105"/>
    <n v="2"/>
    <n v="105"/>
    <n v="315"/>
    <n v="638.22189200040771"/>
  </r>
  <r>
    <d v="2024-03-21T00:00:00"/>
    <x v="2"/>
    <x v="1"/>
    <s v="EXTERN"/>
    <s v="COCTEL"/>
    <s v="HOSPITAL SITGES"/>
    <s v="E-RDP Terramar coctel x 50 MM"/>
    <n v="30.269329018077883"/>
    <n v="29.540385675404803"/>
    <n v="22.090792488110438"/>
    <n v="0"/>
    <n v="1"/>
    <n v="8"/>
    <n v="0"/>
    <n v="0"/>
    <n v="8"/>
    <n v="0"/>
    <n v="109.72"/>
    <n v="0"/>
    <n v="75"/>
    <n v="1"/>
    <n v="75"/>
    <n v="1"/>
    <n v="75"/>
    <n v="150"/>
    <n v="375.31050718159315"/>
  </r>
  <r>
    <d v="2024-03-21T00:00:00"/>
    <x v="2"/>
    <x v="1"/>
    <s v="EXTERN"/>
    <s v="COCTEL"/>
    <s v="AXA"/>
    <s v="E-generalitat cofeee+cocktail 250/300 noa"/>
    <n v="348.09728370789566"/>
    <n v="339.71443526715524"/>
    <n v="254.04411361327004"/>
    <n v="0"/>
    <n v="2"/>
    <n v="13"/>
    <n v="3"/>
    <n v="4"/>
    <n v="38"/>
    <n v="0"/>
    <n v="109.72"/>
    <n v="1"/>
    <n v="111"/>
    <n v="0"/>
    <n v="111"/>
    <n v="0"/>
    <n v="111"/>
    <n v="111"/>
    <n v="1764.9464325883212"/>
  </r>
  <r>
    <d v="2024-03-21T00:00:00"/>
    <x v="2"/>
    <x v="1"/>
    <s v="EXTERN"/>
    <s v="COCTEL"/>
    <s v="MARINA PORT VELL"/>
    <s v="E-FLOWCOMUNICATION COFFEE+CCTEL 45-LAIA"/>
    <n v="67.084400436315107"/>
    <n v="65.468879753115885"/>
    <n v="48.958718851774755"/>
    <n v="0"/>
    <n v="1"/>
    <n v="11.05"/>
    <n v="0"/>
    <n v="0"/>
    <n v="11.05"/>
    <n v="0"/>
    <n v="109.72"/>
    <n v="1"/>
    <n v="130"/>
    <n v="1"/>
    <n v="130"/>
    <n v="1"/>
    <n v="130"/>
    <n v="390"/>
    <n v="593.3259990412057"/>
  </r>
  <r>
    <d v="2024-03-21T00:00:00"/>
    <x v="2"/>
    <x v="1"/>
    <s v="EXTERN"/>
    <s v="COFFEE"/>
    <s v="ACLAM"/>
    <s v="E-SOLSONA COMUNICACIO coffeex70 MM"/>
    <n v="65.760117291774208"/>
    <n v="64.176487879816932"/>
    <n v="47.992246680419932"/>
    <n v="0"/>
    <n v="1"/>
    <n v="11"/>
    <n v="0"/>
    <n v="0"/>
    <n v="11"/>
    <n v="0"/>
    <n v="109.72"/>
    <n v="0"/>
    <n v="111"/>
    <n v="1"/>
    <n v="111"/>
    <n v="1"/>
    <n v="111"/>
    <n v="222"/>
    <n v="544.39005185201108"/>
  </r>
  <r>
    <d v="2024-03-21T00:00:00"/>
    <x v="2"/>
    <x v="1"/>
    <s v="MASIA PROPIES"/>
    <s v="COFFEE"/>
    <s v="FONT DE LA CANYA"/>
    <s v="E - Catalana Occident 130pax Reunió + coffee (AFV)"/>
    <n v="103.10490196782779"/>
    <n v="100.6219387068476"/>
    <n v="75.24676191262617"/>
    <n v="0"/>
    <n v="0"/>
    <n v="0"/>
    <n v="1"/>
    <n v="3"/>
    <n v="3"/>
    <n v="0"/>
    <n v="109.72"/>
    <n v="0"/>
    <n v="26"/>
    <n v="1"/>
    <n v="26"/>
    <n v="1"/>
    <n v="26"/>
    <n v="52"/>
    <n v="456.45280258730156"/>
  </r>
  <r>
    <d v="2024-03-23T00:00:00"/>
    <x v="2"/>
    <x v="1"/>
    <s v="MASIA PROPIES"/>
    <s v="BANQUET"/>
    <s v="CAN PARELLADA"/>
    <s v="E- Patricia Raubert dinar x 32+12 MM"/>
    <n v="71.851819756662366"/>
    <n v="70.121490496992138"/>
    <n v="52.438018668652148"/>
    <n v="0"/>
    <n v="1"/>
    <n v="11.5"/>
    <n v="0"/>
    <n v="0"/>
    <n v="11.5"/>
    <n v="0"/>
    <n v="109.72"/>
    <n v="0"/>
    <n v="40"/>
    <n v="1"/>
    <n v="40"/>
    <n v="1"/>
    <n v="40"/>
    <n v="80"/>
    <n v="532.2993289223067"/>
  </r>
  <r>
    <d v="2024-03-26T00:00:00"/>
    <x v="2"/>
    <x v="1"/>
    <s v="MASIA PROPIES"/>
    <s v="COPA DE CAVA"/>
    <s v="MIRADOR"/>
    <s v="E-DAVID MARTI despedida x 100/150 MM"/>
    <n v="31.215245549892817"/>
    <n v="30.463522727761202"/>
    <n v="22.781129753363889"/>
    <n v="0"/>
    <n v="0"/>
    <n v="0"/>
    <n v="1"/>
    <n v="2"/>
    <n v="2"/>
    <n v="0"/>
    <n v="109.72"/>
    <n v="0"/>
    <n v="26"/>
    <n v="1"/>
    <n v="26"/>
    <n v="1"/>
    <n v="26"/>
    <n v="52"/>
    <n v="243.93909803101792"/>
  </r>
  <r>
    <d v="2024-03-28T00:00:00"/>
    <x v="2"/>
    <x v="1"/>
    <s v="EXTERN"/>
    <s v="BANQUET"/>
    <s v="LLOTJA DE MAR"/>
    <s v="E - Cutte Events Gala 170 cristina"/>
    <n v="366.25888111874241"/>
    <n v="357.43866667239809"/>
    <n v="267.29858910613632"/>
    <n v="0"/>
    <n v="3"/>
    <n v="14.39"/>
    <n v="0"/>
    <n v="0"/>
    <n v="43.17"/>
    <n v="0"/>
    <n v="109.72"/>
    <n v="1"/>
    <n v="115"/>
    <n v="1"/>
    <n v="115"/>
    <n v="1"/>
    <n v="115"/>
    <n v="345"/>
    <n v="1969.063136897277"/>
  </r>
  <r>
    <d v="2024-03-14T00:00:00"/>
    <x v="2"/>
    <x v="2"/>
    <s v="FOOD LOVERS"/>
    <s v="FOOD LOVERS"/>
    <s v="FORUM GIRONA"/>
    <m/>
    <n v="0"/>
    <n v="0"/>
    <n v="0"/>
    <n v="0"/>
    <n v="0"/>
    <n v="0"/>
    <n v="0"/>
    <n v="0"/>
    <n v="0"/>
    <n v="0"/>
    <n v="109.72"/>
    <n v="0"/>
    <n v="0"/>
    <n v="0"/>
    <n v="0"/>
    <n v="0"/>
    <n v="0"/>
    <n v="0"/>
    <n v="109.72"/>
  </r>
  <r>
    <d v="2024-03-26T00:00:00"/>
    <x v="2"/>
    <x v="1"/>
    <s v="EXTERN"/>
    <s v="COCTEL"/>
    <s v="ALIMENTARIA"/>
    <s v="E- Fira Alimentaria-noa"/>
    <n v="84.091979678347627"/>
    <n v="82.06688395448397"/>
    <n v="61.370982881031814"/>
    <n v="0"/>
    <n v="0"/>
    <n v="0"/>
    <n v="0"/>
    <n v="0"/>
    <n v="0"/>
    <n v="0"/>
    <n v="109.72"/>
    <n v="0"/>
    <n v="0"/>
    <n v="0"/>
    <n v="0"/>
    <n v="0"/>
    <n v="0"/>
    <n v="0"/>
    <n v="337.24984651386342"/>
  </r>
  <r>
    <d v="2024-03-01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02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04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06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07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08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09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11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13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14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15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16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18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20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21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22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23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25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</r>
  <r>
    <d v="2024-03-27T00:00:00"/>
    <x v="2"/>
    <x v="3"/>
    <m/>
    <m/>
    <s v="ATMETLLER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</r>
  <r>
    <d v="2024-03-28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1"/>
    <n v="104"/>
    <n v="104"/>
    <n v="171.51839999999999"/>
  </r>
  <r>
    <d v="2024-03-30T00:00:00"/>
    <x v="2"/>
    <x v="3"/>
    <m/>
    <m/>
    <s v="ATMETLLER"/>
    <m/>
    <n v="0"/>
    <n v="0"/>
    <n v="0"/>
    <n v="0"/>
    <n v="2"/>
    <n v="4"/>
    <n v="0"/>
    <n v="0"/>
    <n v="8"/>
    <n v="0"/>
    <n v="0"/>
    <n v="0"/>
    <n v="0"/>
    <n v="0"/>
    <n v="0"/>
    <n v="1"/>
    <n v="104"/>
    <n v="104"/>
    <n v="171.51839999999999"/>
  </r>
  <r>
    <d v="2024-03-05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07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12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14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19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21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22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4-26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3-28T00:00:00"/>
    <x v="2"/>
    <x v="4"/>
    <m/>
    <m/>
    <s v="RESTAURANTS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</r>
  <r>
    <d v="2024-04-01T00:00:00"/>
    <x v="3"/>
    <x v="1"/>
    <s v="EXTERN"/>
    <s v="BANQUET"/>
    <s v="CODORNIU"/>
    <s v="E - Aj. StSadurni dinar gent gran 300 CO"/>
    <n v="175.19029189704941"/>
    <n v="240.97507176148653"/>
    <n v="148.06083176320183"/>
    <n v="0"/>
    <n v="2"/>
    <n v="11"/>
    <n v="2"/>
    <n v="3"/>
    <n v="28"/>
    <n v="0"/>
    <n v="59.66"/>
    <n v="0"/>
    <n v="20"/>
    <n v="2"/>
    <n v="20"/>
    <n v="1"/>
    <n v="20"/>
    <n v="60"/>
    <n v="1143.7621954217379"/>
  </r>
  <r>
    <d v="2024-04-02T00:00:00"/>
    <x v="3"/>
    <x v="1"/>
    <s v="EXTERN"/>
    <s v="COFFEE"/>
    <s v="TORREBELLESGUARD"/>
    <s v="E - Cutt Events 100 coffee + Gastrovan cristina"/>
    <n v="60.935753703321524"/>
    <n v="83.817416264864875"/>
    <n v="51.499419743722378"/>
    <n v="0"/>
    <n v="1"/>
    <n v="9.8000000000000007"/>
    <n v="0"/>
    <n v="0"/>
    <n v="9.8000000000000007"/>
    <n v="0"/>
    <n v="59.66"/>
    <n v="0"/>
    <n v="105"/>
    <n v="1"/>
    <n v="105"/>
    <n v="1"/>
    <n v="105"/>
    <n v="210"/>
    <n v="487.87858971190883"/>
  </r>
  <r>
    <d v="2024-04-03T00:00:00"/>
    <x v="3"/>
    <x v="1"/>
    <s v="EXTERN"/>
    <s v="BANQUET"/>
    <s v="LLOTJA DE MAR"/>
    <s v="E-Cutt Events 120 Gala Dinner cristina"/>
    <n v="167.57332268413421"/>
    <n v="230.49789472837841"/>
    <n v="141.62340429523653"/>
    <n v="0"/>
    <n v="2"/>
    <n v="13"/>
    <n v="0"/>
    <n v="0"/>
    <n v="26"/>
    <n v="0"/>
    <n v="59.66"/>
    <n v="1"/>
    <n v="115"/>
    <n v="1"/>
    <n v="115"/>
    <n v="2"/>
    <n v="115"/>
    <n v="460"/>
    <n v="1189.0706217077493"/>
  </r>
  <r>
    <d v="2024-04-05T00:00:00"/>
    <x v="3"/>
    <x v="1"/>
    <s v="EXTERN"/>
    <s v="BANQUET"/>
    <s v="CODORNIU"/>
    <s v="E- HAOSHI cena gala x 200 MM"/>
    <n v="261.26204400299105"/>
    <n v="359.36717223560817"/>
    <n v="220.8037621512097"/>
    <n v="0"/>
    <n v="2"/>
    <n v="11.15"/>
    <n v="1"/>
    <n v="3"/>
    <n v="25.3"/>
    <n v="0"/>
    <n v="59.66"/>
    <n v="2"/>
    <n v="20"/>
    <n v="2"/>
    <n v="20"/>
    <n v="1"/>
    <n v="20"/>
    <n v="100"/>
    <n v="1382.952978389809"/>
  </r>
  <r>
    <d v="2024-04-05T00:00:00"/>
    <x v="3"/>
    <x v="1"/>
    <s v="EXTERN"/>
    <s v="BANQUET"/>
    <s v="JARDINS MARIMURTRA"/>
    <s v="E- Love Gracefully x 25 MM"/>
    <n v="69.314419837528249"/>
    <n v="95.342311001283804"/>
    <n v="58.580589958484211"/>
    <n v="0"/>
    <n v="2"/>
    <n v="15.95"/>
    <n v="0"/>
    <n v="0"/>
    <n v="31.9"/>
    <n v="0"/>
    <n v="59.66"/>
    <n v="0"/>
    <n v="240"/>
    <n v="1"/>
    <n v="240"/>
    <n v="2"/>
    <n v="240"/>
    <n v="720"/>
    <n v="1047.6093207972963"/>
  </r>
  <r>
    <d v="2024-04-05T00:00:00"/>
    <x v="3"/>
    <x v="1"/>
    <s v="EXTERN"/>
    <s v="COFFEE"/>
    <s v="GRÍFOLS"/>
    <s v="E - Grifols coffee 500 cristina"/>
    <n v="152.33938425830382"/>
    <n v="209.5435406621622"/>
    <n v="128.74854935930594"/>
    <n v="0"/>
    <n v="2"/>
    <n v="10.3"/>
    <n v="0"/>
    <n v="0"/>
    <n v="20.6"/>
    <n v="0"/>
    <n v="59.66"/>
    <n v="0"/>
    <n v="123"/>
    <n v="2"/>
    <n v="123"/>
    <n v="1"/>
    <n v="123"/>
    <n v="369"/>
    <n v="1018.728874279772"/>
  </r>
  <r>
    <d v="2024-04-05T00:00:00"/>
    <x v="3"/>
    <x v="1"/>
    <s v="EXTERN"/>
    <s v="PAELLES"/>
    <s v="MAS DE LA RIERA"/>
    <s v="E - Ajuntament act paelles cristina"/>
    <n v="12.187150740664306"/>
    <n v="16.763483252972975"/>
    <n v="10.299883948744474"/>
    <n v="0"/>
    <n v="0"/>
    <n v="0"/>
    <n v="0"/>
    <n v="0"/>
    <n v="0"/>
    <n v="0"/>
    <n v="59.66"/>
    <n v="0"/>
    <n v="47"/>
    <n v="0"/>
    <n v="47"/>
    <n v="1"/>
    <n v="47"/>
    <n v="47"/>
    <n v="111.34671794238176"/>
  </r>
  <r>
    <d v="2024-04-05T00:00:00"/>
    <x v="3"/>
    <x v="1"/>
    <s v="EXTERN"/>
    <s v="PARADETES"/>
    <s v="PARTICULAR DE SITGES"/>
    <s v="E-NEU NIELLS PARAD 47 PAX AFV "/>
    <n v="71.416703340292827"/>
    <n v="98.234011862421639"/>
    <n v="60.357319939642629"/>
    <n v="0"/>
    <n v="2"/>
    <n v="10.45"/>
    <n v="0"/>
    <n v="0"/>
    <n v="20.9"/>
    <n v="0"/>
    <n v="59.66"/>
    <n v="0"/>
    <n v="73"/>
    <n v="1"/>
    <n v="73"/>
    <n v="1"/>
    <n v="73"/>
    <n v="146"/>
    <n v="704.49963514235696"/>
  </r>
  <r>
    <d v="2024-04-08T00:00:00"/>
    <x v="3"/>
    <x v="1"/>
    <s v="EXTERN"/>
    <s v="BANQUET"/>
    <s v="MAS COLOM"/>
    <s v="E-Borges dinar x57 MM"/>
    <n v="83.786661342067106"/>
    <n v="115.24894736418921"/>
    <n v="70.811702147618263"/>
    <n v="0"/>
    <n v="2"/>
    <n v="11.5"/>
    <n v="0"/>
    <n v="0"/>
    <n v="23"/>
    <n v="0"/>
    <n v="59.66"/>
    <n v="0"/>
    <n v="144"/>
    <n v="1"/>
    <n v="144"/>
    <n v="2"/>
    <n v="144"/>
    <n v="432"/>
    <n v="857.81451085387448"/>
  </r>
  <r>
    <d v="2024-04-08T00:00:00"/>
    <x v="3"/>
    <x v="1"/>
    <s v="EXTERN"/>
    <s v="BANQUET"/>
    <s v="19TH HOLE"/>
    <s v="E - Sulicatta gala 50 cristina"/>
    <n v="51.795390647823304"/>
    <n v="71.244803825135151"/>
    <n v="43.774506782164025"/>
    <n v="0"/>
    <n v="1"/>
    <n v="11.5"/>
    <n v="0"/>
    <n v="0"/>
    <n v="11.5"/>
    <n v="0"/>
    <n v="59.66"/>
    <n v="0"/>
    <n v="125"/>
    <n v="1"/>
    <n v="125"/>
    <n v="1"/>
    <n v="125"/>
    <n v="250"/>
    <n v="499.62470125512243"/>
  </r>
  <r>
    <d v="2024-04-09T00:00:00"/>
    <x v="3"/>
    <x v="1"/>
    <s v="MASIA PROPIES"/>
    <s v="BANQUET"/>
    <s v="JOSEP MASACHS"/>
    <s v="E- JOSEP MASACHS cata+dinarx9MM"/>
    <n v="16.757332268413421"/>
    <n v="23.049789472837844"/>
    <n v="14.162340429523654"/>
    <n v="0"/>
    <n v="0"/>
    <n v="0"/>
    <n v="1"/>
    <n v="3"/>
    <n v="3"/>
    <n v="0"/>
    <n v="59.66"/>
    <n v="1"/>
    <n v="54"/>
    <n v="1"/>
    <n v="54"/>
    <n v="0"/>
    <n v="54"/>
    <n v="108"/>
    <n v="196.20626217077492"/>
  </r>
  <r>
    <d v="2024-04-09T00:00:00"/>
    <x v="3"/>
    <x v="1"/>
    <s v="EXTERN"/>
    <s v="BANQUET"/>
    <s v="DRASSANES"/>
    <s v="E-Grupo Pacifico 350 cristina"/>
    <n v="380.84846064575953"/>
    <n v="523.85885165540549"/>
    <n v="321.87137339826484"/>
    <n v="0"/>
    <n v="4"/>
    <n v="11.45"/>
    <n v="6"/>
    <n v="4"/>
    <n v="69.8"/>
    <n v="0"/>
    <n v="59.66"/>
    <n v="4"/>
    <n v="113"/>
    <n v="2"/>
    <n v="113"/>
    <n v="5"/>
    <n v="113"/>
    <n v="1243"/>
    <n v="2871.5364856994297"/>
  </r>
  <r>
    <d v="2024-04-09T00:00:00"/>
    <x v="3"/>
    <x v="1"/>
    <s v="EXTERN"/>
    <s v="COCTEL"/>
    <s v="LLOTJA DE MAR"/>
    <s v="E-GENCAT ACC CLIMAT COCKTAIL DINNER 150-200 AFV "/>
    <n v="157.67126270734445"/>
    <n v="216.87756458533789"/>
    <n v="133.25474858688165"/>
    <n v="0"/>
    <n v="2"/>
    <n v="10.95"/>
    <n v="0"/>
    <n v="0"/>
    <n v="21.9"/>
    <n v="0"/>
    <n v="59.66"/>
    <n v="0"/>
    <n v="115"/>
    <n v="1"/>
    <n v="115"/>
    <n v="2"/>
    <n v="115"/>
    <n v="345"/>
    <n v="1052.950575879564"/>
  </r>
  <r>
    <d v="2024-04-09T00:00:00"/>
    <x v="3"/>
    <x v="1"/>
    <s v="EXTERN"/>
    <s v="COFFEE"/>
    <s v="GRIFOLS"/>
    <s v="E Grifols coffee 150 cristina"/>
    <n v="45.701815277491143"/>
    <n v="62.863062198648656"/>
    <n v="38.624564807791785"/>
    <n v="0"/>
    <n v="1"/>
    <n v="8.9"/>
    <n v="0"/>
    <n v="0"/>
    <n v="8.9"/>
    <n v="0"/>
    <n v="59.66"/>
    <n v="0"/>
    <n v="123"/>
    <n v="0"/>
    <n v="123"/>
    <n v="1"/>
    <n v="123"/>
    <n v="123"/>
    <n v="399.59524228393161"/>
  </r>
  <r>
    <d v="2024-04-09T00:00:00"/>
    <x v="3"/>
    <x v="1"/>
    <s v="EXTERN"/>
    <s v="COPA DE CAVA"/>
    <s v="VINSEUM"/>
    <s v="E- GENCAT copa cava x 80-90MM"/>
    <n v="44.940118356199626"/>
    <n v="61.815344495337854"/>
    <n v="37.980822060995251"/>
    <n v="0"/>
    <n v="1"/>
    <n v="8"/>
    <n v="0"/>
    <n v="0"/>
    <n v="8"/>
    <n v="0"/>
    <n v="59.66"/>
    <n v="0"/>
    <n v="34"/>
    <n v="1"/>
    <n v="34"/>
    <n v="1"/>
    <n v="34"/>
    <n v="68"/>
    <n v="366.38908491253267"/>
  </r>
  <r>
    <d v="2024-04-09T00:00:00"/>
    <x v="3"/>
    <x v="1"/>
    <s v="MASIA PROPIES"/>
    <s v="BANQUET"/>
    <s v="MASIA ESPLUGUES"/>
    <s v="E 360 Events 100 p MG"/>
    <n v="170.62011036930028"/>
    <n v="234.68876554162168"/>
    <n v="144.19837528242266"/>
    <n v="0"/>
    <n v="0"/>
    <n v="0"/>
    <n v="1"/>
    <n v="3"/>
    <n v="3"/>
    <n v="0"/>
    <n v="59.66"/>
    <n v="0"/>
    <n v="97"/>
    <n v="0"/>
    <n v="97"/>
    <n v="1"/>
    <n v="97"/>
    <n v="97"/>
    <n v="688.83345119334456"/>
  </r>
  <r>
    <d v="2024-04-10T00:00:00"/>
    <x v="3"/>
    <x v="1"/>
    <s v="EXTERN"/>
    <s v="BANQUET"/>
    <s v="AQUARIUM"/>
    <s v="E- BCDME ref. Lab Esteve x 105 MM"/>
    <n v="112.73114435114482"/>
    <n v="155.06222009000001"/>
    <n v="95.273926525886395"/>
    <n v="0"/>
    <n v="2"/>
    <n v="10.3"/>
    <n v="0"/>
    <n v="0"/>
    <n v="20.6"/>
    <n v="0"/>
    <n v="59.66"/>
    <n v="0"/>
    <n v="115"/>
    <n v="1"/>
    <n v="115"/>
    <n v="2"/>
    <n v="115"/>
    <n v="345"/>
    <n v="884.81429096703118"/>
  </r>
  <r>
    <d v="2024-04-11T00:00:00"/>
    <x v="3"/>
    <x v="1"/>
    <s v="EXTERN"/>
    <s v="COCTEL"/>
    <s v="GRÍFOLS"/>
    <s v="E - Grifols afterworks 140 cristina"/>
    <n v="67.638686610686904"/>
    <n v="93.037332054000018"/>
    <n v="57.164355915531843"/>
    <n v="0"/>
    <n v="1"/>
    <n v="7.3"/>
    <n v="0"/>
    <n v="0"/>
    <n v="7.3"/>
    <n v="0"/>
    <n v="59.66"/>
    <n v="1"/>
    <n v="123"/>
    <n v="1"/>
    <n v="123"/>
    <n v="0"/>
    <n v="123"/>
    <n v="246"/>
    <n v="473.99197458021865"/>
  </r>
  <r>
    <d v="2024-04-12T00:00:00"/>
    <x v="3"/>
    <x v="1"/>
    <s v="EXTERN"/>
    <s v="BANQUET"/>
    <s v="ELS CASSOTS"/>
    <s v="E- FM els casots sopar x 100 MM"/>
    <n v="24.374301481328612"/>
    <n v="33.52696650594595"/>
    <n v="20.599767897488949"/>
    <n v="0"/>
    <n v="0"/>
    <n v="0"/>
    <n v="1"/>
    <n v="4"/>
    <n v="4"/>
    <n v="0"/>
    <n v="59.66"/>
    <n v="0"/>
    <n v="26"/>
    <n v="2"/>
    <n v="26"/>
    <n v="0"/>
    <n v="26"/>
    <n v="52"/>
    <n v="223.92023588476351"/>
  </r>
  <r>
    <d v="2024-04-13T00:00:00"/>
    <x v="3"/>
    <x v="1"/>
    <s v="EXTERN"/>
    <s v="COCTEL"/>
    <s v="ESPIELLS"/>
    <s v="E-Escola Agrària de Viticultura i Enologia x 150 MM"/>
    <n v="35.799755300701399"/>
    <n v="49.242732055608116"/>
    <n v="30.255909099436895"/>
    <n v="0"/>
    <n v="0"/>
    <n v="0"/>
    <n v="0"/>
    <n v="0"/>
    <n v="0"/>
    <n v="0"/>
    <n v="59.66"/>
    <n v="0"/>
    <n v="25"/>
    <n v="1"/>
    <n v="25"/>
    <n v="0"/>
    <n v="25"/>
    <n v="25"/>
    <n v="181.5733964557464"/>
  </r>
  <r>
    <d v="2024-04-15T00:00:00"/>
    <x v="3"/>
    <x v="1"/>
    <s v="EXTERN"/>
    <s v="COCTEL"/>
    <s v="MUSEU PICASSO"/>
    <s v="E-ENP MEDIA 80 PAX CENA COCKTAIL NOA"/>
    <n v="118.21536218444378"/>
    <n v="162.60578755383787"/>
    <n v="99.908874302821417"/>
    <n v="0"/>
    <n v="2"/>
    <n v="10.7"/>
    <n v="0"/>
    <n v="0"/>
    <n v="21.4"/>
    <n v="0"/>
    <n v="59.66"/>
    <n v="0"/>
    <n v="116"/>
    <n v="1"/>
    <n v="116"/>
    <n v="2"/>
    <n v="116"/>
    <n v="348"/>
    <n v="917.67082404110306"/>
  </r>
  <r>
    <d v="2024-04-16T00:00:00"/>
    <x v="3"/>
    <x v="1"/>
    <s v="MASIA PROPIES"/>
    <s v="BANQUET"/>
    <s v="CLOS LA PLANA"/>
    <s v="E-NORSK HYDRO ASA_130 pax_cena banquete noa"/>
    <n v="193.51671982332337"/>
    <n v="266.18315970314467"/>
    <n v="163.54928225112636"/>
    <n v="0"/>
    <n v="2"/>
    <n v="11.15"/>
    <n v="0"/>
    <n v="0"/>
    <n v="22.3"/>
    <n v="0"/>
    <n v="59.66"/>
    <n v="1"/>
    <n v="80"/>
    <n v="1"/>
    <n v="80"/>
    <n v="0"/>
    <n v="80"/>
    <n v="160"/>
    <n v="1126.6451617775947"/>
  </r>
  <r>
    <d v="2024-04-17T00:00:00"/>
    <x v="3"/>
    <x v="1"/>
    <s v="EXTERN"/>
    <s v="COCTEL"/>
    <s v="MUSEU BLAU"/>
    <s v="E-IPGHEALTH 40 SOPAR CCTEL-LAIA"/>
    <n v="48.748602962657223"/>
    <n v="67.0539330118919"/>
    <n v="41.199535794977898"/>
    <n v="0"/>
    <n v="1"/>
    <n v="9.9499999999999993"/>
    <n v="0"/>
    <n v="0"/>
    <n v="9.9499999999999993"/>
    <n v="0"/>
    <n v="59.66"/>
    <n v="0"/>
    <n v="123"/>
    <n v="1"/>
    <n v="123"/>
    <n v="1"/>
    <n v="123"/>
    <n v="246"/>
    <n v="460.85367176952707"/>
  </r>
  <r>
    <d v="2024-04-18T00:00:00"/>
    <x v="3"/>
    <x v="1"/>
    <s v="EXTERN"/>
    <s v="BANQUET"/>
    <s v="HOSPITAL SANT PAU"/>
    <s v="E - ActosServeis sopar 160 gala cristina"/>
    <n v="243.74301481328609"/>
    <n v="335.2696650594595"/>
    <n v="205.99767897488951"/>
    <n v="0"/>
    <n v="2"/>
    <n v="12"/>
    <n v="2"/>
    <n v="4"/>
    <n v="32"/>
    <n v="0"/>
    <n v="59.66"/>
    <n v="1"/>
    <n v="120"/>
    <n v="1"/>
    <n v="120"/>
    <n v="2"/>
    <n v="120"/>
    <n v="480"/>
    <n v="1547.6783588476353"/>
  </r>
  <r>
    <d v="2024-04-18T00:00:00"/>
    <x v="3"/>
    <x v="1"/>
    <s v="EXTERN"/>
    <s v="COCTEL"/>
    <s v="TECH BCN PIER 01"/>
    <s v="E - Esade 50 cocktail dinner"/>
    <n v="91.403630554982286"/>
    <n v="125.72612439729731"/>
    <n v="77.24912961558357"/>
    <n v="0"/>
    <n v="1"/>
    <n v="9.5"/>
    <n v="0"/>
    <n v="0"/>
    <n v="9.5"/>
    <n v="0"/>
    <n v="59.66"/>
    <n v="0"/>
    <n v="116"/>
    <n v="1"/>
    <n v="116"/>
    <n v="1"/>
    <n v="116"/>
    <n v="232"/>
    <n v="586.42608456786309"/>
  </r>
  <r>
    <d v="2024-04-18T00:00:00"/>
    <x v="3"/>
    <x v="1"/>
    <s v="EXTERN"/>
    <s v="BANQUET"/>
    <s v="CONVENT DELS ANGELS"/>
    <s v="E - Liberty 40 sopar cristina"/>
    <n v="76.169692129151912"/>
    <n v="104.7717703310811"/>
    <n v="64.37427467965297"/>
    <n v="0"/>
    <n v="1"/>
    <n v="9.5"/>
    <n v="0"/>
    <n v="0"/>
    <n v="9.5"/>
    <n v="0"/>
    <n v="59.66"/>
    <n v="0"/>
    <n v="116"/>
    <n v="1"/>
    <n v="116"/>
    <n v="1"/>
    <n v="116"/>
    <n v="232"/>
    <n v="537.36293713988596"/>
  </r>
  <r>
    <d v="2024-04-19T00:00:00"/>
    <x v="3"/>
    <x v="1"/>
    <s v="EXTERN"/>
    <s v="BANQUET"/>
    <s v="CORNELLÀ"/>
    <s v="E - Cutt coffee+lunch 60 cristina"/>
    <n v="91.403630554982286"/>
    <n v="125.72612439729731"/>
    <n v="77.24912961558357"/>
    <n v="0"/>
    <n v="2"/>
    <n v="10.45"/>
    <n v="0"/>
    <n v="0"/>
    <n v="20.9"/>
    <n v="0"/>
    <n v="59.66"/>
    <n v="0"/>
    <n v="97"/>
    <n v="1"/>
    <n v="97"/>
    <n v="1"/>
    <n v="97"/>
    <n v="194"/>
    <n v="781.57128456786313"/>
  </r>
  <r>
    <d v="2024-04-19T00:00:00"/>
    <x v="3"/>
    <x v="1"/>
    <s v="EXTERN"/>
    <s v="COCTEL"/>
    <s v="JUVE i CAMPS"/>
    <s v="E- J&amp;C coctel assegut x 6 MM"/>
    <n v="11.12077505085618"/>
    <n v="15.296678468337843"/>
    <n v="9.3986441032293353"/>
    <n v="0"/>
    <n v="0"/>
    <n v="0"/>
    <n v="0"/>
    <n v="0"/>
    <n v="0"/>
    <n v="0"/>
    <n v="59.66"/>
    <n v="0"/>
    <n v="24"/>
    <n v="1"/>
    <n v="24"/>
    <n v="0"/>
    <n v="24"/>
    <n v="24"/>
    <n v="101.82649762242336"/>
  </r>
  <r>
    <d v="2024-04-20T00:00:00"/>
    <x v="3"/>
    <x v="0"/>
    <s v="MASIA PROPIES"/>
    <s v="CASAMENT"/>
    <s v="JOSEP MASACHS"/>
    <s v="C - ANNA I CRISTIAN x 130"/>
    <n v="317.76654969700701"/>
    <n v="437.08938598969206"/>
    <n v="268.55814409116857"/>
    <n v="0"/>
    <n v="2"/>
    <n v="16.5"/>
    <n v="2"/>
    <n v="6"/>
    <n v="45"/>
    <n v="0"/>
    <n v="59.66"/>
    <n v="2"/>
    <n v="60"/>
    <n v="1"/>
    <n v="60"/>
    <n v="1"/>
    <n v="60"/>
    <n v="240"/>
    <n v="1956.5780797778677"/>
  </r>
  <r>
    <d v="2024-04-20T00:00:00"/>
    <x v="3"/>
    <x v="1"/>
    <s v="MASIA PROPIES"/>
    <s v="FAMILY DAY"/>
    <s v="CLOS LA PLANA"/>
    <s v="E - GRUPO AC MARCA x 60 MM"/>
    <n v="152.33938425830382"/>
    <n v="209.5435406621622"/>
    <n v="128.74854935930594"/>
    <n v="0"/>
    <n v="2"/>
    <n v="13"/>
    <n v="2"/>
    <n v="4"/>
    <n v="34"/>
    <n v="0"/>
    <n v="59.66"/>
    <n v="2"/>
    <n v="80"/>
    <n v="1"/>
    <n v="80"/>
    <n v="1"/>
    <n v="80"/>
    <n v="320"/>
    <n v="1246.9634742797723"/>
  </r>
  <r>
    <d v="2024-04-20T00:00:00"/>
    <x v="3"/>
    <x v="1"/>
    <s v="MASIA PROPIES"/>
    <s v="COCTEL"/>
    <s v="MASIA ESPLUGUES"/>
    <s v="E HD VIDEO "/>
    <n v="63.982541388487604"/>
    <n v="88.008287078108125"/>
    <n v="54.07439073090849"/>
    <n v="0"/>
    <n v="0"/>
    <n v="0"/>
    <n v="1"/>
    <n v="3"/>
    <n v="3"/>
    <m/>
    <n v="59.66"/>
    <n v="0"/>
    <n v="104"/>
    <n v="1"/>
    <n v="104"/>
    <n v="1"/>
    <n v="104"/>
    <n v="208"/>
    <n v="374.76201919750417"/>
  </r>
  <r>
    <d v="2024-04-22T00:00:00"/>
    <x v="3"/>
    <x v="1"/>
    <s v="EXTERN"/>
    <s v="BANQUET"/>
    <s v="MARINA PORT VELL"/>
    <s v="E-SOLEAR EVENTS BANQUET 80-LAIA"/>
    <n v="120.34811356406003"/>
    <n v="165.53939712310813"/>
    <n v="101.7113539938517"/>
    <n v="0"/>
    <n v="2"/>
    <n v="10.7"/>
    <n v="0"/>
    <n v="0"/>
    <n v="21.4"/>
    <n v="0"/>
    <n v="59.66"/>
    <n v="0"/>
    <n v="115"/>
    <n v="1"/>
    <n v="115"/>
    <n v="2"/>
    <n v="115"/>
    <n v="345"/>
    <n v="923.74586468101984"/>
  </r>
  <r>
    <d v="2024-04-22T00:00:00"/>
    <x v="3"/>
    <x v="1"/>
    <s v="EXTERN"/>
    <s v="FIRA"/>
    <s v="FIRA PESCAPUERTA"/>
    <s v="E- Pescapuerta x 150 MM"/>
    <n v="137.10544583247344"/>
    <n v="188.58918659594599"/>
    <n v="115.87369442337534"/>
    <n v="0"/>
    <n v="0"/>
    <n v="0"/>
    <n v="2"/>
    <n v="4"/>
    <n v="8"/>
    <n v="0"/>
    <n v="59.66"/>
    <n v="2"/>
    <n v="102"/>
    <n v="3"/>
    <n v="102"/>
    <n v="0"/>
    <n v="102"/>
    <n v="510"/>
    <n v="780.17432685179472"/>
  </r>
  <r>
    <d v="2024-04-24T00:00:00"/>
    <x v="3"/>
    <x v="1"/>
    <s v="EXTERN"/>
    <s v="COCTEL"/>
    <s v="GRIFOLS"/>
    <s v="E - Grifols 25 coffee+cocktail cristina"/>
    <n v="31.991270694243802"/>
    <n v="44.004143539054063"/>
    <n v="27.037195365454245"/>
    <n v="0"/>
    <n v="1"/>
    <n v="10.7"/>
    <n v="0"/>
    <n v="0"/>
    <n v="10.7"/>
    <n v="0"/>
    <n v="59.66"/>
    <n v="0"/>
    <n v="123"/>
    <n v="1"/>
    <n v="123"/>
    <n v="1"/>
    <n v="123"/>
    <n v="246"/>
    <n v="420.38420959875202"/>
  </r>
  <r>
    <d v="2024-04-25T00:00:00"/>
    <x v="3"/>
    <x v="1"/>
    <s v="MASIA PROPIES"/>
    <s v="BANQUET"/>
    <s v="JUNO"/>
    <m/>
    <n v="0"/>
    <n v="0"/>
    <n v="0"/>
    <n v="0"/>
    <n v="0"/>
    <n v="0"/>
    <n v="2"/>
    <n v="6"/>
    <n v="12"/>
    <n v="0"/>
    <n v="59.66"/>
    <n v="0"/>
    <n v="104"/>
    <n v="1"/>
    <n v="104"/>
    <n v="1"/>
    <n v="104"/>
    <n v="208"/>
    <n v="330.69679999999994"/>
  </r>
  <r>
    <d v="2024-04-25T00:00:00"/>
    <x v="3"/>
    <x v="1"/>
    <s v="EXTERN"/>
    <s v="COCTEL"/>
    <s v="PORT VELL"/>
    <s v="E-CCIBA coffee +sopar cctel 100-laia"/>
    <n v="120.34811356406003"/>
    <n v="165.53939712310813"/>
    <n v="101.7113539938517"/>
    <n v="0"/>
    <n v="1"/>
    <n v="11.35"/>
    <n v="0"/>
    <n v="0"/>
    <n v="11.35"/>
    <n v="0"/>
    <n v="59.66"/>
    <n v="0"/>
    <n v="115"/>
    <n v="1"/>
    <n v="115"/>
    <n v="1"/>
    <n v="115"/>
    <n v="230"/>
    <n v="712.41686468101989"/>
  </r>
  <r>
    <d v="2024-04-25T00:00:00"/>
    <x v="3"/>
    <x v="1"/>
    <s v="EXTERN"/>
    <s v="COCTEL"/>
    <s v="CAVES LLOPART"/>
    <s v="E- LLOPART COCKTAIL 80 PAX AFV "/>
    <n v="76.169692129151912"/>
    <n v="104.7717703310811"/>
    <n v="64.37427467965297"/>
    <n v="0"/>
    <n v="1"/>
    <n v="7.55"/>
    <n v="0"/>
    <n v="0"/>
    <n v="7.55"/>
    <n v="0"/>
    <n v="59.66"/>
    <n v="0"/>
    <n v="26"/>
    <n v="1"/>
    <n v="26"/>
    <n v="1"/>
    <n v="26"/>
    <n v="52"/>
    <n v="454.63493713988601"/>
  </r>
  <r>
    <d v="2024-04-25T00:00:00"/>
    <x v="3"/>
    <x v="1"/>
    <s v="MASIA PROPIES"/>
    <s v="COCTEL"/>
    <s v="MASIA ESPLUGUES"/>
    <s v="E-BECOLVE cctel 120 PAX MG "/>
    <n v="121.87150740664305"/>
    <n v="167.63483252972975"/>
    <n v="102.99883948744476"/>
    <n v="0"/>
    <n v="0"/>
    <n v="0"/>
    <n v="1"/>
    <n v="3"/>
    <n v="3"/>
    <n v="0"/>
    <n v="59.66"/>
    <n v="0"/>
    <n v="104"/>
    <n v="1"/>
    <n v="104"/>
    <n v="1"/>
    <n v="104"/>
    <n v="208"/>
    <n v="561.20197942381753"/>
  </r>
  <r>
    <d v="2024-04-26T00:00:00"/>
    <x v="3"/>
    <x v="2"/>
    <s v="FOOD LOVERS"/>
    <s v="FOOD LOVERS"/>
    <s v="TARRACO"/>
    <s v="A - FERIA DE ABRIL"/>
    <n v="0"/>
    <n v="0"/>
    <n v="0"/>
    <n v="0"/>
    <n v="0"/>
    <n v="0"/>
    <n v="0"/>
    <n v="0"/>
    <n v="0"/>
    <n v="0"/>
    <n v="59.66"/>
    <n v="0"/>
    <n v="0"/>
    <n v="0"/>
    <n v="0"/>
    <n v="0"/>
    <n v="0"/>
    <n v="0"/>
    <n v="59.66"/>
  </r>
  <r>
    <d v="2024-04-26T00:00:00"/>
    <x v="3"/>
    <x v="1"/>
    <s v="MASIA PROPIES"/>
    <s v="COCTEL"/>
    <s v="MASIA ESPLUGUES"/>
    <s v="E Festa jubilació Estibaliz 75 pax"/>
    <n v="51.795390647823304"/>
    <n v="71.244803825135151"/>
    <n v="43.774506782164025"/>
    <n v="0"/>
    <n v="1"/>
    <n v="3"/>
    <n v="0"/>
    <n v="0"/>
    <n v="3"/>
    <n v="0"/>
    <n v="59.66"/>
    <n v="0"/>
    <n v="97"/>
    <n v="0"/>
    <n v="97"/>
    <n v="1"/>
    <n v="97"/>
    <n v="97"/>
    <n v="306.14090125512246"/>
  </r>
  <r>
    <d v="2024-04-27T00:00:00"/>
    <x v="3"/>
    <x v="1"/>
    <s v="EXTERN"/>
    <s v="BANQUET"/>
    <s v="CODORNIU"/>
    <s v="E - RTA banquet sopar 100 cristina"/>
    <n v="152.33938425830382"/>
    <n v="209.5435406621622"/>
    <n v="128.74854935930594"/>
    <n v="0"/>
    <n v="2"/>
    <n v="12.1"/>
    <n v="0"/>
    <n v="0"/>
    <n v="24.2"/>
    <n v="0"/>
    <n v="59.66"/>
    <n v="1"/>
    <n v="20"/>
    <n v="1"/>
    <n v="20"/>
    <n v="1"/>
    <n v="20"/>
    <n v="60"/>
    <n v="1001.7674742797718"/>
  </r>
  <r>
    <d v="2024-04-27T00:00:00"/>
    <x v="3"/>
    <x v="1"/>
    <s v="EXTERN"/>
    <s v="FAMILY DAY"/>
    <s v="GESTAMP"/>
    <s v="E - Talisman 250 family day cristina"/>
    <n v="213.27513796162535"/>
    <n v="293.36095692702708"/>
    <n v="180.24796910302831"/>
    <n v="0"/>
    <n v="2"/>
    <n v="10.98"/>
    <n v="0"/>
    <n v="0"/>
    <n v="21.96"/>
    <n v="0"/>
    <n v="59.66"/>
    <n v="0"/>
    <n v="61"/>
    <n v="2"/>
    <n v="61"/>
    <n v="2"/>
    <n v="61"/>
    <n v="244"/>
    <n v="1206.3864639916808"/>
  </r>
  <r>
    <d v="2024-04-27T00:00:00"/>
    <x v="3"/>
    <x v="0"/>
    <s v="EXTERN"/>
    <s v="CASAMENT"/>
    <s v="LA CAPELLA"/>
    <s v="C - MARTA I JORDI x 120"/>
    <n v="285.27834793131262"/>
    <n v="392.40171142099803"/>
    <n v="241.10097095770428"/>
    <n v="0"/>
    <n v="3"/>
    <n v="14.5"/>
    <n v="2"/>
    <n v="4"/>
    <n v="51.5"/>
    <n v="0"/>
    <n v="59.66"/>
    <n v="1"/>
    <n v="101"/>
    <n v="2"/>
    <n v="101"/>
    <n v="1"/>
    <n v="101"/>
    <n v="404"/>
    <n v="2012.3394303100149"/>
  </r>
  <r>
    <d v="2024-04-27T00:00:00"/>
    <x v="3"/>
    <x v="0"/>
    <s v="MASIA PROPIES"/>
    <s v="CASAMENT"/>
    <s v="FONT DE LA CANYA"/>
    <s v="C MONTSE &amp; ALBERT X 140"/>
    <n v="468.52571752239948"/>
    <n v="644.45933150456563"/>
    <n v="395.97118474797043"/>
    <n v="0"/>
    <n v="2.5"/>
    <n v="19.7"/>
    <n v="1"/>
    <n v="3"/>
    <n v="52.25"/>
    <n v="0"/>
    <n v="59.66"/>
    <n v="0"/>
    <n v="32"/>
    <n v="1"/>
    <n v="32"/>
    <n v="2"/>
    <n v="32"/>
    <n v="96"/>
    <n v="2534.5178337749353"/>
  </r>
  <r>
    <d v="2024-04-27T00:00:00"/>
    <x v="3"/>
    <x v="0"/>
    <s v="MASIA PROPIES"/>
    <s v="CASAMENT"/>
    <s v="JOSEP MASACHS"/>
    <s v="C- ANNA i DANIELLE x 130 "/>
    <n v="333.60786524787534"/>
    <n v="458.87919015252839"/>
    <n v="281.94631949339475"/>
    <n v="0"/>
    <n v="2"/>
    <n v="16"/>
    <n v="2"/>
    <n v="6"/>
    <n v="44"/>
    <n v="0"/>
    <n v="59.66"/>
    <n v="0"/>
    <n v="60"/>
    <n v="0"/>
    <n v="60"/>
    <n v="1"/>
    <n v="60"/>
    <n v="60"/>
    <n v="1941.9693748937982"/>
  </r>
  <r>
    <d v="2024-04-01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03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04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05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06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08T00:00:00"/>
    <x v="3"/>
    <x v="3"/>
    <m/>
    <m/>
    <s v="ATMETLLER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</r>
  <r>
    <d v="2024-04-10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11T00:00:00"/>
    <x v="3"/>
    <x v="3"/>
    <m/>
    <m/>
    <s v="ATMETLLER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</r>
  <r>
    <d v="2024-04-12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13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15T00:00:00"/>
    <x v="3"/>
    <x v="3"/>
    <m/>
    <m/>
    <s v="ATMETLLER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</r>
  <r>
    <d v="2024-04-17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18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19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20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22T00:00:00"/>
    <x v="3"/>
    <x v="3"/>
    <m/>
    <m/>
    <s v="ATMETLLER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</r>
  <r>
    <d v="2024-04-24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25T00:00:00"/>
    <x v="3"/>
    <x v="3"/>
    <m/>
    <m/>
    <s v="ATMETLLER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</r>
  <r>
    <d v="2024-04-26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27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29T00:00:00"/>
    <x v="3"/>
    <x v="3"/>
    <m/>
    <m/>
    <s v="ATMETLLER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</r>
  <r>
    <d v="2024-04-30T00:00:00"/>
    <x v="3"/>
    <x v="3"/>
    <m/>
    <m/>
    <s v="ATMETLLER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</r>
  <r>
    <d v="2024-04-02T00:00:00"/>
    <x v="3"/>
    <x v="4"/>
    <m/>
    <m/>
    <s v="RESTAURANTS"/>
    <m/>
    <n v="54.59"/>
    <n v="74.16"/>
    <n v="0"/>
    <n v="0"/>
    <n v="1"/>
    <n v="2.25"/>
    <n v="0"/>
    <n v="0"/>
    <n v="2.25"/>
    <n v="0"/>
    <n v="62.44"/>
    <n v="0"/>
    <n v="0"/>
    <n v="0"/>
    <n v="0"/>
    <n v="1"/>
    <n v="82"/>
    <n v="82"/>
    <n v="253.38720000000001"/>
  </r>
  <r>
    <d v="2024-04-03T00:00:00"/>
    <x v="3"/>
    <x v="4"/>
    <m/>
    <m/>
    <s v="RESTAURANTS"/>
    <m/>
    <n v="54.59"/>
    <n v="74.16"/>
    <n v="0"/>
    <n v="0"/>
    <n v="2"/>
    <n v="5"/>
    <n v="0"/>
    <n v="0"/>
    <n v="10"/>
    <n v="0"/>
    <n v="62.44"/>
    <n v="0"/>
    <n v="0"/>
    <n v="0"/>
    <n v="0"/>
    <n v="2"/>
    <n v="146"/>
    <n v="292"/>
    <n v="448.45319999999998"/>
  </r>
  <r>
    <d v="2024-04-04T00:00:00"/>
    <x v="3"/>
    <x v="4"/>
    <m/>
    <m/>
    <s v="RESTAURANTS"/>
    <m/>
    <n v="54.59"/>
    <n v="74.16"/>
    <n v="0"/>
    <n v="0"/>
    <n v="2"/>
    <n v="4.75"/>
    <n v="0"/>
    <n v="0"/>
    <n v="9.5"/>
    <n v="0"/>
    <n v="62.44"/>
    <n v="0"/>
    <n v="0"/>
    <n v="0"/>
    <n v="0"/>
    <n v="2"/>
    <n v="98"/>
    <n v="196"/>
    <n v="414.05159999999995"/>
  </r>
  <r>
    <d v="2024-04-05T00:00:00"/>
    <x v="3"/>
    <x v="4"/>
    <m/>
    <m/>
    <s v="RESTAURANTS"/>
    <m/>
    <n v="54.59"/>
    <n v="74.16"/>
    <n v="0"/>
    <n v="0"/>
    <n v="1"/>
    <n v="4"/>
    <n v="0"/>
    <n v="0"/>
    <n v="4"/>
    <n v="0"/>
    <n v="62.44"/>
    <n v="0"/>
    <n v="0"/>
    <n v="0"/>
    <n v="0"/>
    <n v="1"/>
    <n v="90"/>
    <n v="90"/>
    <n v="287.00400000000002"/>
  </r>
  <r>
    <d v="2024-04-09T00:00:00"/>
    <x v="3"/>
    <x v="4"/>
    <m/>
    <m/>
    <s v="RESTAURANTS"/>
    <m/>
    <n v="54.59"/>
    <n v="74.16"/>
    <n v="0"/>
    <n v="0"/>
    <n v="2"/>
    <n v="6.3"/>
    <n v="0"/>
    <n v="0"/>
    <n v="12.6"/>
    <n v="0"/>
    <n v="62.44"/>
    <n v="0"/>
    <n v="0"/>
    <n v="0"/>
    <n v="0"/>
    <n v="2"/>
    <n v="167.5"/>
    <n v="335"/>
    <n v="506.63099999999991"/>
  </r>
  <r>
    <d v="2024-04-11T00:00:00"/>
    <x v="3"/>
    <x v="4"/>
    <m/>
    <m/>
    <s v="RESTAURANTS"/>
    <m/>
    <n v="54.59"/>
    <n v="74.16"/>
    <n v="0"/>
    <n v="0"/>
    <n v="2"/>
    <n v="3.75"/>
    <n v="0"/>
    <n v="0"/>
    <n v="7.5"/>
    <n v="0"/>
    <n v="62.44"/>
    <n v="0"/>
    <n v="0"/>
    <n v="0"/>
    <n v="0"/>
    <n v="2"/>
    <n v="79.5"/>
    <n v="159"/>
    <n v="368.26140000000004"/>
  </r>
  <r>
    <d v="2024-04-16T00:00:00"/>
    <x v="3"/>
    <x v="4"/>
    <m/>
    <m/>
    <s v="RESTAURANTS"/>
    <m/>
    <n v="54.59"/>
    <n v="74.16"/>
    <n v="0"/>
    <n v="0"/>
    <n v="2"/>
    <n v="5.6"/>
    <n v="0"/>
    <n v="0"/>
    <n v="11.2"/>
    <n v="0"/>
    <n v="62.44"/>
    <n v="0"/>
    <n v="0"/>
    <n v="0"/>
    <n v="0"/>
    <n v="2"/>
    <n v="154"/>
    <n v="308"/>
    <n v="474.28679999999991"/>
  </r>
  <r>
    <d v="2024-04-18T00:00:00"/>
    <x v="3"/>
    <x v="4"/>
    <m/>
    <m/>
    <s v="RESTAURANTS"/>
    <m/>
    <n v="54.59"/>
    <n v="74.16"/>
    <n v="0"/>
    <n v="0"/>
    <n v="2"/>
    <n v="3.85"/>
    <n v="0"/>
    <n v="0"/>
    <n v="7.7"/>
    <n v="0"/>
    <n v="62.44"/>
    <n v="0"/>
    <n v="0"/>
    <n v="0"/>
    <n v="0"/>
    <n v="2"/>
    <n v="139"/>
    <n v="278"/>
    <n v="403.34879999999993"/>
  </r>
  <r>
    <d v="2024-04-23T00:00:00"/>
    <x v="3"/>
    <x v="4"/>
    <m/>
    <m/>
    <s v="RESTAURANTS"/>
    <m/>
    <n v="54.59"/>
    <n v="74.16"/>
    <n v="0"/>
    <n v="0"/>
    <n v="2"/>
    <n v="4.9000000000000004"/>
    <n v="0"/>
    <n v="0"/>
    <n v="9.8000000000000007"/>
    <n v="0"/>
    <n v="62.44"/>
    <n v="0"/>
    <n v="0"/>
    <n v="0"/>
    <n v="0"/>
    <n v="2"/>
    <n v="179.5"/>
    <n v="359"/>
    <n v="462.58139999999997"/>
  </r>
  <r>
    <d v="2024-04-25T00:00:00"/>
    <x v="3"/>
    <x v="4"/>
    <m/>
    <m/>
    <s v="RESTAURANTS"/>
    <m/>
    <n v="54.59"/>
    <n v="74.16"/>
    <n v="0"/>
    <n v="0"/>
    <n v="2"/>
    <n v="3.125"/>
    <n v="0"/>
    <n v="0"/>
    <n v="6.25"/>
    <n v="0"/>
    <n v="62.44"/>
    <n v="0"/>
    <n v="0"/>
    <n v="0"/>
    <n v="0"/>
    <n v="2"/>
    <n v="144"/>
    <n v="288"/>
    <n v="379.89479999999998"/>
  </r>
  <r>
    <d v="2024-04-30T00:00:00"/>
    <x v="3"/>
    <x v="4"/>
    <m/>
    <m/>
    <s v="RESTAURANTS"/>
    <m/>
    <n v="54.59"/>
    <n v="74.16"/>
    <n v="0"/>
    <n v="0"/>
    <n v="2"/>
    <n v="4.25"/>
    <n v="0"/>
    <n v="0"/>
    <n v="8.5"/>
    <n v="0"/>
    <n v="62.44"/>
    <n v="0"/>
    <n v="0"/>
    <n v="0"/>
    <n v="0"/>
    <n v="2"/>
    <n v="110"/>
    <n v="220"/>
    <n v="402.40199999999999"/>
  </r>
  <r>
    <d v="2024-05-01T00:00:00"/>
    <x v="4"/>
    <x v="1"/>
    <s v="EXTERN"/>
    <s v="BARBACOA"/>
    <s v="MERCABARNA"/>
    <s v="E - Agora 300 dinar bbq cristina"/>
    <n v="124.07149681895682"/>
    <n v="160.53355236476187"/>
    <n v="112.77717854964656"/>
    <n v="0"/>
    <n v="3"/>
    <n v="13"/>
    <n v="0"/>
    <n v="0"/>
    <n v="39"/>
    <n v="26.54"/>
    <n v="25.8"/>
    <n v="2"/>
    <n v="100"/>
    <n v="2"/>
    <n v="100"/>
    <n v="0"/>
    <n v="100"/>
    <n v="400"/>
    <n v="1257.5622277333653"/>
  </r>
  <r>
    <d v="2024-05-02T00:00:00"/>
    <x v="4"/>
    <x v="1"/>
    <s v="MASIA PROPIES"/>
    <s v="BANQUET"/>
    <s v="FONT DE LA CANYA"/>
    <s v="E-MEETING PONT 185 PAX AFV"/>
    <n v="172.62495259316904"/>
    <n v="223.35586800421285"/>
    <n v="156.91077805832973"/>
    <n v="0"/>
    <n v="2"/>
    <n v="12"/>
    <n v="2"/>
    <n v="3"/>
    <n v="30"/>
    <n v="26.54"/>
    <n v="25.8"/>
    <n v="0"/>
    <n v="30"/>
    <n v="0"/>
    <n v="30"/>
    <n v="1"/>
    <n v="30"/>
    <n v="30"/>
    <n v="1153.1695986557115"/>
  </r>
  <r>
    <d v="2024-05-02T00:00:00"/>
    <x v="4"/>
    <x v="1"/>
    <s v="EXTERN"/>
    <s v="BANQUET"/>
    <s v="CODORNIU"/>
    <s v="E-SPAINTACULAR sopar 193-laia "/>
    <n v="184.67372129060789"/>
    <n v="238.94552147187113"/>
    <n v="167.86273860956925"/>
    <n v="0"/>
    <n v="3"/>
    <n v="12.5"/>
    <n v="2"/>
    <n v="4"/>
    <n v="45.5"/>
    <n v="26.54"/>
    <n v="25.8"/>
    <n v="2"/>
    <n v="20"/>
    <n v="2"/>
    <n v="20"/>
    <n v="1"/>
    <n v="20"/>
    <n v="100"/>
    <n v="1489.2819813720482"/>
  </r>
  <r>
    <d v="2024-05-04T00:00:00"/>
    <x v="4"/>
    <x v="1"/>
    <s v="MASIA PROPIES"/>
    <s v="BANQUET"/>
    <s v="MIRADOR"/>
    <s v="E -RTA comida X 150 cristina"/>
    <n v="62.845689434350859"/>
    <n v="81.314742179909416"/>
    <n v="57.124800781242115"/>
    <n v="0"/>
    <n v="1"/>
    <n v="7"/>
    <n v="0"/>
    <n v="0"/>
    <n v="7"/>
    <n v="26.54"/>
    <n v="25.8"/>
    <n v="0"/>
    <n v="26"/>
    <n v="0"/>
    <n v="26"/>
    <n v="0"/>
    <n v="26"/>
    <n v="0"/>
    <n v="379.62523239550239"/>
  </r>
  <r>
    <d v="2024-05-04T00:00:00"/>
    <x v="4"/>
    <x v="0"/>
    <s v="MASIA PROPIES"/>
    <s v="CASAMENT"/>
    <s v="JOSEP MASACHS"/>
    <s v="C - ANABEL i ALEX x 100 (Sònia)"/>
    <n v="93.226863982104049"/>
    <n v="120.62431770861798"/>
    <n v="84.740354992855657"/>
    <n v="0"/>
    <n v="2"/>
    <n v="13.75"/>
    <n v="2"/>
    <n v="4"/>
    <n v="35.5"/>
    <n v="26.54"/>
    <n v="25.8"/>
    <n v="0"/>
    <n v="54"/>
    <n v="0"/>
    <n v="54"/>
    <n v="1"/>
    <n v="54"/>
    <n v="54"/>
    <n v="1004.2199366835775"/>
  </r>
  <r>
    <d v="2024-05-04T00:00:00"/>
    <x v="4"/>
    <x v="0"/>
    <s v="EXTERN"/>
    <s v="CASAMENT"/>
    <s v="CASA DEL MAR"/>
    <s v="C - IRIA i RAUL x 120 ( Ruth ) "/>
    <n v="165.10253572942003"/>
    <n v="213.62276787672485"/>
    <n v="150.07313225313885"/>
    <n v="0"/>
    <n v="4"/>
    <n v="18"/>
    <n v="0"/>
    <n v="0"/>
    <n v="72"/>
    <n v="26.54"/>
    <n v="25.8"/>
    <n v="0"/>
    <n v="66"/>
    <n v="2"/>
    <n v="66"/>
    <n v="4"/>
    <n v="66"/>
    <n v="396"/>
    <n v="1981.9200358592836"/>
  </r>
  <r>
    <d v="2024-05-04T00:00:00"/>
    <x v="4"/>
    <x v="0"/>
    <s v="EXTERN"/>
    <s v="CASAMENT"/>
    <s v="MASIA FORELLACHS"/>
    <s v="C-RICARDO i XIMENA x 80 (Santi ) "/>
    <n v="120.53069269252327"/>
    <n v="155.95217888884088"/>
    <n v="109.55869638884209"/>
    <n v="0"/>
    <n v="3"/>
    <n v="21.45"/>
    <n v="0"/>
    <n v="0"/>
    <n v="64.349999999999994"/>
    <n v="26.54"/>
    <n v="25.8"/>
    <n v="0"/>
    <n v="320"/>
    <n v="2"/>
    <n v="320"/>
    <n v="3"/>
    <n v="320"/>
    <n v="1600"/>
    <n v="2020.041567970206"/>
  </r>
  <r>
    <d v="2024-05-06T00:00:00"/>
    <x v="4"/>
    <x v="1"/>
    <s v="EXTERN"/>
    <s v="BANQUET"/>
    <s v="TERRAZA MIRAMAR"/>
    <s v="E - RTA 120 almuerzo cristina"/>
    <n v="80.356184334911902"/>
    <n v="103.97121060435271"/>
    <n v="73.041302641252898"/>
    <n v="0"/>
    <n v="3"/>
    <n v="13.45"/>
    <n v="0"/>
    <n v="0"/>
    <n v="40.349999999999994"/>
    <n v="26.54"/>
    <n v="25.8"/>
    <n v="0"/>
    <n v="114"/>
    <n v="1"/>
    <n v="114"/>
    <n v="2"/>
    <n v="114"/>
    <n v="342"/>
    <n v="1126.5018975805174"/>
  </r>
  <r>
    <d v="2024-05-07T00:00:00"/>
    <x v="4"/>
    <x v="1"/>
    <s v="EXTERN"/>
    <s v="COCTEL"/>
    <s v="RECINTE MODERNISTA"/>
    <s v="E - Werfen 40 lunch cristina"/>
    <n v="18.92251597932097"/>
    <n v="24.483453393585865"/>
    <n v="17.199985636687863"/>
    <n v="0"/>
    <n v="1"/>
    <n v="10.7"/>
    <n v="0"/>
    <n v="0"/>
    <n v="10.7"/>
    <n v="26.54"/>
    <n v="25.8"/>
    <n v="0"/>
    <n v="120"/>
    <n v="1"/>
    <n v="120"/>
    <n v="1"/>
    <n v="120"/>
    <n v="240"/>
    <n v="369.04995500959473"/>
  </r>
  <r>
    <d v="2024-05-09T00:00:00"/>
    <x v="4"/>
    <x v="1"/>
    <s v="MASIA PROPIES"/>
    <s v="BARBACOA"/>
    <s v="CLOS LA PLANA"/>
    <s v="E-TALENTBCN 27P COFFEE +BBQ + COPAS AFV "/>
    <n v="31.559029491269026"/>
    <n v="40.833577762105513"/>
    <n v="28.686188166036615"/>
    <n v="0"/>
    <n v="1"/>
    <n v="13.95"/>
    <n v="0"/>
    <n v="0"/>
    <n v="13.95"/>
    <n v="26.54"/>
    <n v="25.8"/>
    <n v="0"/>
    <n v="74"/>
    <n v="1"/>
    <n v="74"/>
    <n v="1"/>
    <n v="74"/>
    <n v="148"/>
    <n v="443.67959541941121"/>
  </r>
  <r>
    <d v="2024-05-09T00:00:00"/>
    <x v="4"/>
    <x v="1"/>
    <s v="MASIA PROPIES"/>
    <s v="BANQUET"/>
    <s v="FONT DE LA CANYA"/>
    <s v="E- OLIS BARGALLÓ MM/Santi 70pax"/>
    <n v="56.337490756614713"/>
    <n v="72.893918058176098"/>
    <n v="51.209048145593414"/>
    <n v="0"/>
    <n v="1"/>
    <n v="12.15"/>
    <n v="0"/>
    <n v="0"/>
    <n v="12.15"/>
    <n v="26.54"/>
    <n v="25.8"/>
    <n v="0"/>
    <n v="30"/>
    <n v="1"/>
    <n v="30"/>
    <n v="1"/>
    <n v="30"/>
    <n v="60"/>
    <n v="467.35645696038432"/>
  </r>
  <r>
    <d v="2024-05-09T00:00:00"/>
    <x v="4"/>
    <x v="1"/>
    <s v="EXTERN"/>
    <s v="BLAYET"/>
    <s v="BARCELONA"/>
    <s v="E - Marbet entrega Picnic 200 cristina"/>
    <n v="44.869299253995941"/>
    <n v="58.055461456002845"/>
    <n v="40.78481442638865"/>
    <n v="0"/>
    <n v="2"/>
    <n v="3.5"/>
    <n v="0"/>
    <n v="0"/>
    <n v="7"/>
    <n v="26.54"/>
    <n v="25.8"/>
    <n v="0"/>
    <n v="115"/>
    <n v="0"/>
    <n v="115"/>
    <n v="1"/>
    <n v="115"/>
    <n v="115"/>
    <n v="352.47857513638746"/>
  </r>
  <r>
    <d v="2024-05-09T00:00:00"/>
    <x v="4"/>
    <x v="1"/>
    <s v="EXTERN"/>
    <s v="COCTEL"/>
    <s v="COLEGI INFERMERIA"/>
    <s v="E-COLEGI INFERMERIA sopar CCTEL 130-LAIA"/>
    <n v="56.44500505195176"/>
    <n v="73.033028588821466"/>
    <n v="51.306775336710956"/>
    <n v="0"/>
    <n v="2"/>
    <n v="10.199999999999999"/>
    <n v="0"/>
    <n v="0"/>
    <n v="20.399999999999999"/>
    <n v="26.54"/>
    <n v="25.8"/>
    <n v="1"/>
    <n v="122"/>
    <n v="1"/>
    <n v="122"/>
    <n v="1"/>
    <n v="122"/>
    <n v="366"/>
    <n v="697.16840897748409"/>
  </r>
  <r>
    <d v="2024-05-10T00:00:00"/>
    <x v="4"/>
    <x v="0"/>
    <s v="MASIA PROPIES"/>
    <s v="CASAMENT"/>
    <s v="CAN PARELLADA"/>
    <s v="C - ESTER i PIERRE x 70"/>
    <n v="89.525791879421405"/>
    <n v="115.83557680168161"/>
    <n v="81.376194165825297"/>
    <n v="0"/>
    <n v="2"/>
    <n v="14.95"/>
    <n v="1"/>
    <n v="3"/>
    <n v="32.9"/>
    <n v="26.54"/>
    <n v="25.8"/>
    <n v="0"/>
    <n v="42"/>
    <n v="1"/>
    <n v="42"/>
    <n v="2"/>
    <n v="42"/>
    <n v="126"/>
    <n v="964.61716284692818"/>
  </r>
  <r>
    <d v="2024-05-10T00:00:00"/>
    <x v="4"/>
    <x v="1"/>
    <s v="EXTERN"/>
    <s v="BARBACOA"/>
    <s v="J&amp;C ESPIELLS"/>
    <s v="E- J&amp;C BBQ X 14 MM"/>
    <n v="9.1817208217841539"/>
    <n v="11.88003931711496"/>
    <n v="8.345902121438316"/>
    <n v="0"/>
    <n v="0"/>
    <n v="0"/>
    <n v="0"/>
    <n v="0"/>
    <n v="0"/>
    <n v="26.54"/>
    <n v="25.8"/>
    <n v="0"/>
    <n v="24"/>
    <n v="1"/>
    <n v="24"/>
    <n v="0"/>
    <n v="24"/>
    <n v="24"/>
    <n v="88.098062260337429"/>
  </r>
  <r>
    <d v="2024-05-11T00:00:00"/>
    <x v="4"/>
    <x v="0"/>
    <s v="MASIA PROPIES"/>
    <s v="CASAMENT"/>
    <s v="JOSEP MASACHS"/>
    <s v="C - SANDRA i JULIÀ x 140"/>
    <n v="144.88991988225135"/>
    <n v="187.47008085574825"/>
    <n v="131.70048547450122"/>
    <n v="0"/>
    <n v="2"/>
    <n v="15.3"/>
    <n v="1"/>
    <n v="3"/>
    <n v="33.6"/>
    <n v="26.54"/>
    <n v="25.8"/>
    <n v="0"/>
    <n v="54"/>
    <n v="0"/>
    <n v="54"/>
    <n v="1"/>
    <n v="54"/>
    <n v="54"/>
    <n v="1135.4888862125008"/>
  </r>
  <r>
    <d v="2024-05-11T00:00:00"/>
    <x v="4"/>
    <x v="0"/>
    <s v="MASIA PROPIES"/>
    <s v="CASAMENT"/>
    <s v="CLOS LA PLANA"/>
    <s v="C - ISABEL i JOSEP x 120 (ANNA GI)"/>
    <n v="193.536124655241"/>
    <n v="250.41240251296935"/>
    <n v="175.91839097338845"/>
    <n v="0"/>
    <n v="3"/>
    <n v="14.33"/>
    <n v="2"/>
    <n v="3"/>
    <n v="48.99"/>
    <n v="26.54"/>
    <n v="25.8"/>
    <n v="1"/>
    <n v="74"/>
    <n v="0"/>
    <n v="74"/>
    <n v="0"/>
    <n v="74"/>
    <n v="74"/>
    <n v="1573.6073181415989"/>
  </r>
  <r>
    <d v="2024-05-11T00:00:00"/>
    <x v="4"/>
    <x v="0"/>
    <s v="MASIA PROPIES"/>
    <s v="CASAMENT"/>
    <s v="FONT DE LA CANYA"/>
    <s v="C - JOSEP I TONI x 145 (ANNA C)"/>
    <n v="176.17342607266997"/>
    <n v="227.94716469798655"/>
    <n v="160.13623142543392"/>
    <n v="0"/>
    <n v="2"/>
    <n v="16.45"/>
    <n v="1"/>
    <n v="3"/>
    <n v="35.9"/>
    <n v="26.54"/>
    <n v="25.8"/>
    <n v="0"/>
    <n v="30"/>
    <n v="0"/>
    <n v="30"/>
    <n v="1"/>
    <n v="30"/>
    <n v="30"/>
    <n v="1270.7348221960901"/>
  </r>
  <r>
    <d v="2024-05-11T00:00:00"/>
    <x v="4"/>
    <x v="0"/>
    <s v="EXTERN"/>
    <s v="CASAMENT"/>
    <s v="CAN VITAL"/>
    <s v="C-CARMEN i FREDERIK x100"/>
    <n v="102.22817581631263"/>
    <n v="132.27092955531"/>
    <n v="92.922270887598742"/>
    <n v="0"/>
    <n v="3"/>
    <n v="16.350000000000001"/>
    <n v="0"/>
    <n v="0"/>
    <n v="49.050000000000004"/>
    <n v="26.54"/>
    <n v="25.8"/>
    <n v="0"/>
    <n v="34"/>
    <n v="2"/>
    <n v="34"/>
    <n v="3"/>
    <n v="34"/>
    <n v="170"/>
    <n v="1307.6433762592212"/>
  </r>
  <r>
    <d v="2024-05-11T00:00:00"/>
    <x v="4"/>
    <x v="1"/>
    <s v="EXTERN"/>
    <s v="BANQUET"/>
    <s v="J&amp;C ESPIELLS"/>
    <s v="E- J&amp;C COMIDA X 15 MM"/>
    <n v="11.05246956064884"/>
    <n v="14.300562550344472"/>
    <n v="10.046355246883595"/>
    <n v="0"/>
    <n v="0"/>
    <n v="0"/>
    <n v="0"/>
    <n v="0"/>
    <n v="0"/>
    <n v="26.54"/>
    <n v="25.8"/>
    <n v="0"/>
    <n v="24"/>
    <n v="1"/>
    <n v="24"/>
    <n v="0"/>
    <n v="24"/>
    <n v="24"/>
    <n v="94.089787357876901"/>
  </r>
  <r>
    <d v="2024-05-13T00:00:00"/>
    <x v="4"/>
    <x v="1"/>
    <s v="EXTERN"/>
    <s v="PARADETES"/>
    <s v="EL MONTANYÀ"/>
    <s v="E-prelude 110 sopar paradetes-laia"/>
    <n v="101.42181860128476"/>
    <n v="131.22760057546969"/>
    <n v="92.189316954217162"/>
    <n v="0"/>
    <n v="2"/>
    <n v="13.3"/>
    <n v="0"/>
    <n v="0"/>
    <n v="26.6"/>
    <n v="26.54"/>
    <n v="25.8"/>
    <n v="0"/>
    <n v="184"/>
    <n v="1"/>
    <n v="184"/>
    <n v="2"/>
    <n v="184"/>
    <n v="552"/>
    <n v="1002.0379361309714"/>
  </r>
  <r>
    <d v="2024-05-14T00:00:00"/>
    <x v="4"/>
    <x v="1"/>
    <s v="EXTERN"/>
    <s v="COCTEL"/>
    <s v="MARINA PORT VELL"/>
    <s v="E-NEVERENOGH coffee+cctel 30-laia"/>
    <n v="27.745855816648284"/>
    <n v="35.899790941882905"/>
    <n v="25.22013045440103"/>
    <n v="0"/>
    <n v="1"/>
    <n v="11.5"/>
    <n v="0"/>
    <n v="0"/>
    <n v="11.5"/>
    <n v="26.54"/>
    <n v="25.8"/>
    <n v="0"/>
    <n v="114"/>
    <n v="1"/>
    <n v="114"/>
    <n v="1"/>
    <n v="114"/>
    <n v="228"/>
    <n v="408.53457721293222"/>
  </r>
  <r>
    <d v="2024-05-14T00:00:00"/>
    <x v="4"/>
    <x v="1"/>
    <s v="EXTERN"/>
    <s v="COCTEL"/>
    <s v="CASA VELLA"/>
    <s v="E- J&amp;C coctel MM"/>
    <n v="11.05246956064884"/>
    <n v="14.300562550344472"/>
    <n v="10.046355246883595"/>
    <n v="0"/>
    <n v="2"/>
    <n v="7.25"/>
    <n v="0"/>
    <n v="0"/>
    <n v="14.5"/>
    <n v="26.54"/>
    <n v="25.8"/>
    <n v="0"/>
    <n v="24"/>
    <n v="1"/>
    <n v="24"/>
    <n v="1"/>
    <n v="24"/>
    <n v="48"/>
    <n v="361.44018735787694"/>
  </r>
  <r>
    <d v="2024-05-15T00:00:00"/>
    <x v="4"/>
    <x v="1"/>
    <s v="MASIA PROPIES"/>
    <s v="BANQUET"/>
    <s v="CLOS LA PLANA"/>
    <s v="E - ABOUT EVENTS 170 PAX DINNER AFV "/>
    <n v="148.24071041072588"/>
    <n v="191.80559965384199"/>
    <n v="134.74625111287062"/>
    <n v="0"/>
    <n v="3"/>
    <n v="10"/>
    <n v="1"/>
    <n v="3"/>
    <n v="33"/>
    <n v="26.54"/>
    <n v="25.8"/>
    <n v="1"/>
    <n v="74"/>
    <n v="1"/>
    <n v="74"/>
    <n v="1"/>
    <n v="74"/>
    <n v="222"/>
    <n v="1179.8737611774386"/>
  </r>
  <r>
    <d v="2024-05-15T00:00:00"/>
    <x v="4"/>
    <x v="1"/>
    <s v="EXTERN"/>
    <s v="BANQUET"/>
    <s v="GRÍFOLS  SANT CUGAT"/>
    <s v="E - Grifols coffee tarda + banquet sopar 70 cristina"/>
    <n v="37.680176705791794"/>
    <n v="48.753603973515489"/>
    <n v="34.25012291366216"/>
    <n v="0"/>
    <n v="2"/>
    <n v="10.45"/>
    <n v="0"/>
    <n v="0"/>
    <n v="20.9"/>
    <n v="26.54"/>
    <n v="25.8"/>
    <n v="0"/>
    <n v="82"/>
    <n v="1"/>
    <n v="82"/>
    <n v="2"/>
    <n v="82"/>
    <n v="246"/>
    <n v="614.31550359296932"/>
  </r>
  <r>
    <d v="2024-05-15T00:00:00"/>
    <x v="4"/>
    <x v="1"/>
    <s v="EXTERN"/>
    <s v="COCTEL"/>
    <s v="GRÍFOLS PARETS"/>
    <s v="E - Grifols Cocktail dinar 60 cristina"/>
    <n v="22.262626754458687"/>
    <n v="28.805153878968824"/>
    <n v="20.236043707406253"/>
    <n v="0"/>
    <n v="1"/>
    <n v="9.1"/>
    <n v="0"/>
    <n v="0"/>
    <n v="9.1"/>
    <n v="26.54"/>
    <n v="25.8"/>
    <n v="0"/>
    <n v="120"/>
    <n v="1"/>
    <n v="120"/>
    <n v="1"/>
    <n v="120"/>
    <n v="240"/>
    <n v="350.94782434083379"/>
  </r>
  <r>
    <d v="2024-05-16T00:00:00"/>
    <x v="4"/>
    <x v="1"/>
    <s v="EXTERN"/>
    <s v="COCTEL"/>
    <s v="JUVE I CAMPS"/>
    <s v="E - Grifols cocktail lunch 60 cristina"/>
    <n v="24.971986996952371"/>
    <n v="32.310739251232256"/>
    <n v="22.69876892356838"/>
    <n v="0"/>
    <n v="1"/>
    <n v="9.6999999999999993"/>
    <n v="0"/>
    <n v="0"/>
    <n v="9.6999999999999993"/>
    <n v="26.54"/>
    <n v="25.8"/>
    <n v="0"/>
    <n v="22"/>
    <n v="1"/>
    <n v="22"/>
    <n v="1"/>
    <n v="22"/>
    <n v="44"/>
    <n v="318.56389517175307"/>
  </r>
  <r>
    <d v="2024-05-16T00:00:00"/>
    <x v="4"/>
    <x v="1"/>
    <s v="EXTERN"/>
    <s v="COCTEL"/>
    <s v="MAS CABANYES"/>
    <s v="E- VIAJES ANDROMEDA x 650 MM"/>
    <n v="381.10233887139998"/>
    <n v="493.10046096096988"/>
    <n v="346.41031678132339"/>
    <n v="40"/>
    <n v="4"/>
    <n v="14"/>
    <n v="4"/>
    <n v="5"/>
    <n v="76"/>
    <n v="26.54"/>
    <n v="25.8"/>
    <n v="3"/>
    <n v="286"/>
    <n v="3"/>
    <n v="286"/>
    <n v="2"/>
    <n v="286"/>
    <n v="2288"/>
    <n v="3286.3579166136929"/>
  </r>
  <r>
    <d v="2024-05-16T00:00:00"/>
    <x v="4"/>
    <x v="1"/>
    <s v="EXTERN"/>
    <s v="COCTEL"/>
    <s v="CINES DIAGONAL"/>
    <s v="E - Talisman 100 cristina"/>
    <n v="31.408509477797157"/>
    <n v="40.638823019201993"/>
    <n v="28.549370098472053"/>
    <n v="0"/>
    <n v="1"/>
    <n v="11.05"/>
    <n v="0"/>
    <n v="0"/>
    <n v="11.05"/>
    <n v="26.54"/>
    <n v="25.8"/>
    <n v="0"/>
    <n v="102"/>
    <n v="1"/>
    <n v="102"/>
    <n v="1"/>
    <n v="102"/>
    <n v="204"/>
    <n v="405.81510259547122"/>
  </r>
  <r>
    <d v="2024-05-16T00:00:00"/>
    <x v="4"/>
    <x v="1"/>
    <s v="EXTERN"/>
    <s v="BANQUET"/>
    <s v="IGUALADA"/>
    <s v="E- UEA x 400 MM"/>
    <n v="268.96492883485581"/>
    <n v="348.00817749784454"/>
    <n v="244.48085644572427"/>
    <n v="40"/>
    <n v="5"/>
    <n v="12.55"/>
    <n v="4"/>
    <n v="7"/>
    <n v="90.75"/>
    <n v="26.54"/>
    <n v="25.8"/>
    <n v="9"/>
    <n v="46"/>
    <n v="1"/>
    <n v="46"/>
    <n v="5"/>
    <n v="46"/>
    <n v="690"/>
    <n v="2769.867962778425"/>
  </r>
  <r>
    <d v="2024-05-16T00:00:00"/>
    <x v="4"/>
    <x v="1"/>
    <s v="EXTERN"/>
    <s v="COCTEL"/>
    <s v="CASA VELLA"/>
    <s v="E- J&amp;C coctel MM"/>
    <n v="24.971986996952371"/>
    <n v="32.310739251232256"/>
    <n v="22.69876892356838"/>
    <n v="0"/>
    <n v="1"/>
    <n v="7.15"/>
    <n v="0"/>
    <n v="0"/>
    <n v="7.15"/>
    <n v="26.54"/>
    <n v="25.8"/>
    <n v="20"/>
    <n v="24"/>
    <n v="20"/>
    <n v="24"/>
    <n v="20"/>
    <n v="24"/>
    <n v="1440"/>
    <n v="642.04549517175303"/>
  </r>
  <r>
    <d v="2024-05-18T00:00:00"/>
    <x v="4"/>
    <x v="1"/>
    <s v="EXTERN"/>
    <s v="BLAYET"/>
    <s v="VENDRELL"/>
    <s v="E-ELI VENDRELL BLAYET 65 PAX AFV "/>
    <n v="7.4113187585673801"/>
    <n v="9.5893525791544629"/>
    <n v="6.7366610410360801"/>
    <n v="0"/>
    <n v="0"/>
    <n v="0"/>
    <n v="1"/>
    <n v="3"/>
    <n v="3"/>
    <n v="26.54"/>
    <n v="25.8"/>
    <n v="0"/>
    <n v="76"/>
    <n v="0"/>
    <n v="76"/>
    <n v="1"/>
    <n v="76"/>
    <n v="76"/>
    <n v="150.18693237875792"/>
  </r>
  <r>
    <d v="2024-05-18T00:00:00"/>
    <x v="4"/>
    <x v="0"/>
    <s v="MASIA PROPIES"/>
    <s v="CASAMENT"/>
    <s v="MIRADOR"/>
    <s v="C - MONICA I ALBERT x 150 (Anna C)"/>
    <n v="100.3869576705672"/>
    <n v="129.88861534783109"/>
    <n v="91.248660163980418"/>
    <n v="0"/>
    <n v="0"/>
    <n v="0"/>
    <n v="1"/>
    <n v="1"/>
    <n v="1"/>
    <n v="26.54"/>
    <n v="25.8"/>
    <n v="0"/>
    <n v="26"/>
    <n v="1"/>
    <n v="26"/>
    <n v="1"/>
    <n v="26"/>
    <n v="52"/>
    <n v="405.62343318237868"/>
  </r>
  <r>
    <d v="2024-05-18T00:00:00"/>
    <x v="4"/>
    <x v="0"/>
    <s v="EXTERN"/>
    <s v="CASAMENT"/>
    <s v="TORREBLANCA"/>
    <s v="C - MÒNICA I JUAN CARLOS x 80 (Anna C)"/>
    <n v="119.01273419475791"/>
    <n v="153.98812367683573"/>
    <n v="108.17891875318386"/>
    <n v="0"/>
    <n v="2"/>
    <n v="12"/>
    <n v="3"/>
    <n v="2"/>
    <n v="30"/>
    <n v="26.54"/>
    <n v="25.8"/>
    <n v="1"/>
    <n v="42"/>
    <n v="0"/>
    <n v="42"/>
    <n v="3"/>
    <n v="42"/>
    <n v="168"/>
    <n v="1017.9725766247775"/>
  </r>
  <r>
    <d v="2024-05-18T00:00:00"/>
    <x v="4"/>
    <x v="0"/>
    <s v="MASIA PROPIES"/>
    <s v="CASAMENT"/>
    <s v="CLOS LA PLANA"/>
    <s v="C - ALBERT &amp; CRISTINA x 90"/>
    <n v="127.57015534161825"/>
    <n v="165.06039451266989"/>
    <n v="115.95735165153296"/>
    <n v="0"/>
    <n v="2"/>
    <n v="12.75"/>
    <n v="2"/>
    <n v="4"/>
    <n v="33.5"/>
    <n v="26.54"/>
    <n v="25.8"/>
    <n v="0"/>
    <n v="74"/>
    <n v="0"/>
    <n v="74"/>
    <n v="2"/>
    <n v="74"/>
    <n v="148"/>
    <n v="1103.0887015058211"/>
  </r>
  <r>
    <d v="2024-05-18T00:00:00"/>
    <x v="4"/>
    <x v="1"/>
    <s v="EXTERN"/>
    <s v="COCTEL"/>
    <s v="GRANOLLERS"/>
    <s v="E-BACUS 70 dinar cctel-laia"/>
    <n v="42.984215275752973"/>
    <n v="55.616390152020614"/>
    <n v="39.071331008794367"/>
    <n v="0"/>
    <n v="3"/>
    <n v="11.22"/>
    <n v="0"/>
    <n v="0"/>
    <n v="33.660000000000004"/>
    <n v="26.54"/>
    <n v="25.8"/>
    <n v="1"/>
    <n v="132"/>
    <n v="1"/>
    <n v="132"/>
    <n v="0"/>
    <n v="132"/>
    <n v="264"/>
    <n v="865.74633643656784"/>
  </r>
  <r>
    <d v="2024-05-18T00:00:00"/>
    <x v="4"/>
    <x v="0"/>
    <s v="MASIA PROPIES"/>
    <s v="CASAMENT"/>
    <s v="FONT DE LA CANYA"/>
    <s v="C - JORDI I LAIA x 150 "/>
    <n v="207.61634012497498"/>
    <n v="268.63050308699508"/>
    <n v="188.71687422506361"/>
    <n v="0"/>
    <n v="3"/>
    <n v="13.1"/>
    <n v="2"/>
    <n v="3"/>
    <n v="45.3"/>
    <n v="26.54"/>
    <n v="25.8"/>
    <n v="0"/>
    <n v="30"/>
    <n v="0"/>
    <n v="30"/>
    <n v="2"/>
    <n v="30"/>
    <n v="60"/>
    <n v="1548.5797174370334"/>
  </r>
  <r>
    <d v="2024-05-19T00:00:00"/>
    <x v="4"/>
    <x v="1"/>
    <s v="EXTERN"/>
    <s v="BANQUET"/>
    <s v="LA PEDRERA"/>
    <s v="E- Miki Travel cena gala x 28 MM"/>
    <n v="18.951186458077515"/>
    <n v="24.520549535091295"/>
    <n v="17.226046220985875"/>
    <n v="0"/>
    <n v="1"/>
    <n v="9.8000000000000007"/>
    <n v="0"/>
    <n v="0"/>
    <n v="9.8000000000000007"/>
    <n v="26.54"/>
    <n v="25.8"/>
    <n v="0"/>
    <n v="106"/>
    <n v="1"/>
    <n v="106"/>
    <n v="1"/>
    <n v="106"/>
    <n v="212"/>
    <n v="345.53298221415474"/>
  </r>
  <r>
    <d v="2024-05-21T00:00:00"/>
    <x v="4"/>
    <x v="1"/>
    <s v="EXTERN"/>
    <s v="COCTEL"/>
    <s v="TORRE BELLESGUARD"/>
    <s v="E - Grifols 110 cocktaildinner cristina"/>
    <n v="81.904390187765429"/>
    <n v="105.97440224564609"/>
    <n v="74.448574193345536"/>
    <n v="0"/>
    <n v="2"/>
    <n v="11.75"/>
    <n v="0"/>
    <n v="0"/>
    <n v="23.5"/>
    <n v="26.54"/>
    <n v="25.8"/>
    <n v="0"/>
    <n v="104"/>
    <n v="2"/>
    <n v="104"/>
    <n v="1"/>
    <n v="104"/>
    <n v="312"/>
    <n v="820.22256662675693"/>
  </r>
  <r>
    <d v="2024-05-22T00:00:00"/>
    <x v="4"/>
    <x v="1"/>
    <s v="EXTERN"/>
    <s v="BANQUET"/>
    <s v="GRÍFOLS SANT CUGAT"/>
    <s v="E - Grifols 110 banquet sopar cristina"/>
    <n v="96.139282890390973"/>
    <n v="124.39263650309364"/>
    <n v="87.387654297308458"/>
    <n v="0"/>
    <n v="4"/>
    <n v="12.25"/>
    <n v="0"/>
    <n v="0"/>
    <n v="49"/>
    <n v="26.54"/>
    <n v="25.8"/>
    <n v="1"/>
    <n v="82"/>
    <n v="1"/>
    <n v="82"/>
    <n v="2"/>
    <n v="82"/>
    <n v="328"/>
    <n v="1329.0483736907931"/>
  </r>
  <r>
    <d v="2024-05-22T00:00:00"/>
    <x v="4"/>
    <x v="1"/>
    <s v="EXTERN"/>
    <s v="BANQUET"/>
    <s v="RECINTE MODERNISTA"/>
    <s v="E - Grupo Pacifico 100 gala cristina // E- Open House Barcelona cocktail 30 pax cristina"/>
    <n v="52.57449041981792"/>
    <n v="68.025049485587999"/>
    <n v="47.788596456479347"/>
    <n v="0"/>
    <n v="2"/>
    <n v="12"/>
    <n v="2"/>
    <n v="4"/>
    <n v="32"/>
    <n v="26.54"/>
    <n v="25.8"/>
    <n v="2"/>
    <n v="120"/>
    <n v="2"/>
    <n v="120"/>
    <n v="1"/>
    <n v="120"/>
    <n v="600"/>
    <n v="955.48813636188515"/>
  </r>
  <r>
    <d v="2024-05-22T00:00:00"/>
    <x v="4"/>
    <x v="1"/>
    <s v="EXTERN"/>
    <s v="COCTEL"/>
    <s v="BORSA BCN"/>
    <s v="E-BMC dinar cctel + coffe80-laia"/>
    <n v="52.91136854520736"/>
    <n v="68.460929148276847"/>
    <n v="48.094808321980999"/>
    <n v="0"/>
    <n v="1"/>
    <n v="12.7"/>
    <n v="0"/>
    <n v="0"/>
    <n v="12.7"/>
    <n v="26.54"/>
    <n v="25.8"/>
    <n v="0"/>
    <n v="114"/>
    <n v="1"/>
    <n v="114"/>
    <n v="1"/>
    <n v="114"/>
    <n v="228"/>
    <n v="510.73590601546533"/>
  </r>
  <r>
    <d v="2024-05-22T00:00:00"/>
    <x v="4"/>
    <x v="1"/>
    <s v="EXTERN"/>
    <s v="COCTEL"/>
    <s v="UB CENTRAL "/>
    <s v="E-BMC coffee+cctel 40-laia"/>
    <n v="20.184017044609035"/>
    <n v="26.115683619824921"/>
    <n v="18.346651345800389"/>
    <n v="0"/>
    <n v="1"/>
    <n v="8.5"/>
    <n v="0"/>
    <n v="0"/>
    <n v="8.5"/>
    <n v="26.54"/>
    <n v="25.8"/>
    <n v="0"/>
    <n v="112"/>
    <n v="1"/>
    <n v="112"/>
    <n v="1"/>
    <n v="112"/>
    <n v="224"/>
    <n v="329.25675201023444"/>
  </r>
  <r>
    <d v="2024-05-23T00:00:00"/>
    <x v="4"/>
    <x v="0"/>
    <s v="EXTERN"/>
    <s v="CASAMENT"/>
    <s v="CASA DEL MAR"/>
    <s v="C - AGUSTINA i GRAZIANO x 80/100"/>
    <n v="116.46665232878274"/>
    <n v="150.69380083044572"/>
    <n v="105.8646085645989"/>
    <n v="0"/>
    <n v="4"/>
    <n v="16.45"/>
    <n v="0"/>
    <n v="0"/>
    <n v="65.8"/>
    <n v="26.54"/>
    <n v="25.8"/>
    <n v="0"/>
    <n v="70"/>
    <n v="4"/>
    <n v="70"/>
    <n v="2"/>
    <n v="70"/>
    <n v="420"/>
    <n v="1720.8970617238272"/>
  </r>
  <r>
    <d v="2024-05-23T00:00:00"/>
    <x v="4"/>
    <x v="1"/>
    <s v="EXTERN"/>
    <s v="COFFEE"/>
    <s v="LA PEDRERA"/>
    <s v="E - BCO Congresos X 200 coffees cristina"/>
    <n v="56.007780250914415"/>
    <n v="72.467312430863615"/>
    <n v="50.909351426166275"/>
    <n v="0"/>
    <n v="0"/>
    <n v="0"/>
    <n v="2"/>
    <n v="4"/>
    <n v="8"/>
    <n v="26.54"/>
    <n v="25.8"/>
    <n v="1"/>
    <n v="106"/>
    <n v="1"/>
    <n v="106"/>
    <n v="2"/>
    <n v="106"/>
    <n v="424"/>
    <n v="487.9148441079443"/>
  </r>
  <r>
    <d v="2024-05-23T00:00:00"/>
    <x v="4"/>
    <x v="1"/>
    <s v="EXTERN"/>
    <s v="COCTEL"/>
    <s v="AUGUSTUS"/>
    <s v="E - Grifols cocktail lunch 90 cristina"/>
    <n v="37.680176705791794"/>
    <n v="48.753603973515489"/>
    <n v="34.25012291366216"/>
    <n v="0"/>
    <n v="1"/>
    <n v="9.9"/>
    <n v="0"/>
    <n v="0"/>
    <n v="9.9"/>
    <n v="26.54"/>
    <n v="25.8"/>
    <n v="0"/>
    <n v="84"/>
    <n v="1"/>
    <n v="84"/>
    <n v="1"/>
    <n v="84"/>
    <n v="168"/>
    <n v="395.67670359296949"/>
  </r>
  <r>
    <d v="2024-05-24T00:00:00"/>
    <x v="4"/>
    <x v="0"/>
    <s v="MASIA PROPIES"/>
    <s v="CASAMENT"/>
    <s v="CLOS LA PLANA"/>
    <s v="C - DOLORS &amp; JORDI x 70 (GI)"/>
    <n v="118.44355351524356"/>
    <n v="153.25167252759914"/>
    <n v="107.6615510034076"/>
    <n v="0"/>
    <n v="2"/>
    <n v="12.5"/>
    <n v="2"/>
    <n v="3"/>
    <n v="31"/>
    <n v="26.54"/>
    <n v="25.8"/>
    <n v="1"/>
    <n v="74"/>
    <n v="0"/>
    <n v="74"/>
    <n v="1"/>
    <n v="74"/>
    <n v="148"/>
    <n v="1028.8575770462503"/>
  </r>
  <r>
    <d v="2024-05-24T00:00:00"/>
    <x v="4"/>
    <x v="0"/>
    <s v="EXTERN"/>
    <s v="CASAMENT"/>
    <s v="MASIA EGARA"/>
    <s v="C-LAURA i MARC x 100 "/>
    <n v="150.5845220490736"/>
    <n v="194.83820922191117"/>
    <n v="136.8767038792331"/>
    <n v="0"/>
    <n v="3"/>
    <n v="15.95"/>
    <n v="0"/>
    <n v="0"/>
    <n v="47.849999999999994"/>
    <n v="26.54"/>
    <n v="25.8"/>
    <n v="1"/>
    <n v="88"/>
    <n v="1"/>
    <n v="88"/>
    <n v="1"/>
    <n v="88"/>
    <n v="264"/>
    <n v="1465.7938351502178"/>
  </r>
  <r>
    <d v="2024-05-24T00:00:00"/>
    <x v="4"/>
    <x v="1"/>
    <s v="EXTERN"/>
    <s v="COFFEE"/>
    <s v="LA PEDRERA"/>
    <s v="E - BCO Congresos X 200 coffees cristina"/>
    <n v="56.007780250914415"/>
    <n v="72.467312430863615"/>
    <n v="50.909351426166275"/>
    <n v="0"/>
    <n v="0"/>
    <n v="0"/>
    <n v="2"/>
    <n v="4"/>
    <n v="8"/>
    <n v="26.54"/>
    <n v="25.8"/>
    <n v="1"/>
    <n v="106"/>
    <n v="1"/>
    <n v="106"/>
    <n v="2"/>
    <n v="106"/>
    <n v="424"/>
    <n v="487.9148441079443"/>
  </r>
  <r>
    <d v="2024-05-24T00:00:00"/>
    <x v="4"/>
    <x v="1"/>
    <s v="EXTERN"/>
    <s v="COCTEL"/>
    <s v="SALLE BONANOVA"/>
    <s v="E-SALLE BONANOVA sopar 500-laia"/>
    <n v="176.3234443527636"/>
    <n v="228.14127025841373"/>
    <n v="160.27259343277328"/>
    <n v="40"/>
    <n v="5"/>
    <n v="12.25"/>
    <n v="1"/>
    <n v="3"/>
    <n v="64.25"/>
    <n v="26.54"/>
    <n v="25.8"/>
    <n v="1"/>
    <n v="104"/>
    <n v="2"/>
    <n v="104"/>
    <n v="4"/>
    <n v="104"/>
    <n v="728"/>
    <n v="2006.2061080439503"/>
  </r>
  <r>
    <d v="2024-05-25T00:00:00"/>
    <x v="4"/>
    <x v="0"/>
    <s v="MASIA PROPIES"/>
    <s v="CASAMENT"/>
    <s v="CLOS LA PLANA"/>
    <s v="C - MARTA i GERLAC x 125 pax (ANNA GI)"/>
    <n v="158.09812274060496"/>
    <n v="204.55990228588627"/>
    <n v="143.70633605475231"/>
    <n v="0"/>
    <n v="2"/>
    <n v="14.5"/>
    <n v="2"/>
    <n v="3"/>
    <n v="35"/>
    <n v="26.54"/>
    <n v="25.8"/>
    <n v="1"/>
    <n v="74"/>
    <n v="0"/>
    <n v="74"/>
    <n v="1"/>
    <n v="74"/>
    <n v="148"/>
    <n v="1227.8651610812433"/>
  </r>
  <r>
    <d v="2024-05-25T00:00:00"/>
    <x v="4"/>
    <x v="0"/>
    <s v="MASIA PROPIES"/>
    <s v="CASAMENT"/>
    <s v="FONT DE LA CANYA"/>
    <s v="C - DAVID &amp; MARIA x 120 "/>
    <n v="115.93244963335137"/>
    <n v="150.00260697384573"/>
    <n v="105.37903472766618"/>
    <n v="0"/>
    <n v="2"/>
    <n v="16.3"/>
    <n v="2"/>
    <n v="3"/>
    <n v="38.6"/>
    <n v="26.54"/>
    <n v="25.8"/>
    <n v="0"/>
    <n v="30"/>
    <n v="0"/>
    <n v="30"/>
    <n v="3"/>
    <n v="30"/>
    <n v="90"/>
    <n v="1142.2680913348634"/>
  </r>
  <r>
    <d v="2024-05-25T00:00:00"/>
    <x v="4"/>
    <x v="1"/>
    <s v="EXTERN"/>
    <s v="BUFFET"/>
    <s v="GARRIGA CASTELLADRAL"/>
    <s v="E - NICOLA 70-80 PAX AFV"/>
    <n v="37.164108088173954"/>
    <n v="48.085873426417692"/>
    <n v="33.781032396297945"/>
    <n v="0"/>
    <n v="2"/>
    <n v="12"/>
    <n v="0"/>
    <n v="0"/>
    <n v="24"/>
    <n v="26.54"/>
    <n v="25.8"/>
    <n v="1"/>
    <n v="168"/>
    <n v="1"/>
    <n v="168"/>
    <n v="0"/>
    <n v="168"/>
    <n v="336"/>
    <n v="692.27661391088964"/>
  </r>
  <r>
    <d v="2024-05-25T00:00:00"/>
    <x v="4"/>
    <x v="2"/>
    <s v="FOOD LOVERS"/>
    <s v="FOOD LOVERS"/>
    <s v="TARRACO"/>
    <s v="A - CONCERT THE TYETS"/>
    <n v="0"/>
    <n v="0"/>
    <n v="0"/>
    <n v="0"/>
    <n v="0"/>
    <n v="0"/>
    <n v="0"/>
    <n v="0"/>
    <n v="0"/>
    <n v="26.54"/>
    <n v="25.8"/>
    <n v="0"/>
    <n v="0"/>
    <n v="0"/>
    <n v="0"/>
    <n v="0"/>
    <n v="0"/>
    <n v="0"/>
    <n v="1084.3399999999999"/>
  </r>
  <r>
    <d v="2024-05-25T00:00:00"/>
    <x v="4"/>
    <x v="1"/>
    <s v="EXTERN"/>
    <s v="BANQUET"/>
    <s v="DOWNTOWN"/>
    <s v="E- MONSTER GALA DINNER 240 AFV "/>
    <n v="161.37178968122439"/>
    <n v="208.79563246333038"/>
    <n v="146.68199872136009"/>
    <n v="0"/>
    <n v="3"/>
    <n v="11.5"/>
    <n v="0"/>
    <n v="0"/>
    <n v="34.5"/>
    <n v="26.54"/>
    <n v="25.8"/>
    <n v="1"/>
    <n v="96"/>
    <n v="1"/>
    <n v="96"/>
    <n v="1"/>
    <n v="96"/>
    <n v="288"/>
    <n v="1266.3942208659148"/>
  </r>
  <r>
    <d v="2024-05-25T00:00:00"/>
    <x v="4"/>
    <x v="1"/>
    <s v="EXTERN"/>
    <s v="COCTEL"/>
    <s v="CAN LLEÓ"/>
    <s v="E- CAN LLEO coctel x 40 MM"/>
    <n v="21.158813322331628"/>
    <n v="27.376952431009649"/>
    <n v="19.232711211932791"/>
    <n v="0"/>
    <n v="1"/>
    <n v="7.5"/>
    <n v="0"/>
    <n v="0"/>
    <n v="7.5"/>
    <n v="26.54"/>
    <n v="25.8"/>
    <n v="0"/>
    <n v="31"/>
    <n v="1"/>
    <n v="31"/>
    <n v="1"/>
    <n v="31"/>
    <n v="62"/>
    <n v="271.5136769652741"/>
  </r>
  <r>
    <d v="2024-05-25T00:00:00"/>
    <x v="4"/>
    <x v="1"/>
    <s v="EXTERN"/>
    <s v="PARADETES"/>
    <s v="MAS BELL"/>
    <s v="E-JUDIT MARQUES 60 COCT AFV "/>
    <n v="59.670433912063295"/>
    <n v="77.20634450818271"/>
    <n v="54.238591070237305"/>
    <n v="0"/>
    <n v="3"/>
    <n v="8.5"/>
    <n v="0"/>
    <n v="0"/>
    <n v="25.5"/>
    <n v="26.54"/>
    <n v="25.8"/>
    <n v="0"/>
    <n v="130"/>
    <n v="1"/>
    <n v="130"/>
    <n v="3"/>
    <n v="130"/>
    <n v="520"/>
    <n v="840.04736949048333"/>
  </r>
  <r>
    <d v="2024-05-26T00:00:00"/>
    <x v="4"/>
    <x v="0"/>
    <s v="MASIA PROPIES"/>
    <s v="CASAMENT"/>
    <s v="JOSEP MASACHS"/>
    <s v="C - LUIS i PHILLIP x 60 "/>
    <n v="107.28615000234575"/>
    <n v="138.81533809934476"/>
    <n v="97.519814017993255"/>
    <n v="0"/>
    <n v="2"/>
    <n v="12.45"/>
    <n v="2"/>
    <n v="3"/>
    <n v="30.9"/>
    <n v="26.54"/>
    <n v="25.8"/>
    <n v="1"/>
    <n v="54"/>
    <n v="1"/>
    <n v="54"/>
    <n v="1"/>
    <n v="54"/>
    <n v="162"/>
    <n v="995.02650211968353"/>
  </r>
  <r>
    <d v="2024-05-26T00:00:00"/>
    <x v="4"/>
    <x v="0"/>
    <s v="EXTERN"/>
    <s v="CASAMENT"/>
    <s v="GARRIGA CASTELLADRAL"/>
    <s v="C - NICOLA &amp; SIMON x 70/80 (GI)"/>
    <n v="102.07471707876822"/>
    <n v="132.07237245790216"/>
    <n v="92.78278161014363"/>
    <n v="0"/>
    <n v="2"/>
    <n v="16"/>
    <n v="0"/>
    <n v="0"/>
    <n v="32"/>
    <n v="26.54"/>
    <n v="25.8"/>
    <n v="1"/>
    <n v="168"/>
    <n v="1"/>
    <n v="168"/>
    <n v="0"/>
    <n v="168"/>
    <n v="336"/>
    <n v="1044.1754711468141"/>
  </r>
  <r>
    <d v="2024-05-27T00:00:00"/>
    <x v="4"/>
    <x v="1"/>
    <s v="EXTERN"/>
    <s v="COCTEL"/>
    <s v="CIM BCN"/>
    <s v="E- CIM Tax&amp;Legal coctel x 50 MM"/>
    <n v="25.803430880892233"/>
    <n v="33.386527354889814"/>
    <n v="23.454525868210723"/>
    <n v="0"/>
    <n v="1"/>
    <n v="10.45"/>
    <n v="0"/>
    <n v="0"/>
    <n v="10.45"/>
    <n v="26.54"/>
    <n v="25.8"/>
    <n v="0"/>
    <n v="102"/>
    <n v="1"/>
    <n v="102"/>
    <n v="1"/>
    <n v="102"/>
    <n v="204"/>
    <n v="377.06288410399281"/>
  </r>
  <r>
    <d v="2024-05-27T00:00:00"/>
    <x v="4"/>
    <x v="1"/>
    <s v="EXTERN"/>
    <s v="BANQUET"/>
    <s v="CAN SUMOI"/>
    <s v="E- RiB x sopar 40-50 MM"/>
    <n v="51.793219873702022"/>
    <n v="67.01417962956495"/>
    <n v="47.078445534358522"/>
    <n v="0"/>
    <n v="2"/>
    <n v="10.95"/>
    <n v="0"/>
    <n v="0"/>
    <n v="21.9"/>
    <n v="26.54"/>
    <n v="25.8"/>
    <n v="1"/>
    <n v="80"/>
    <n v="1"/>
    <n v="80"/>
    <n v="1"/>
    <n v="80"/>
    <n v="240"/>
    <n v="675.92984503762534"/>
  </r>
  <r>
    <d v="2024-05-27T00:00:00"/>
    <x v="4"/>
    <x v="1"/>
    <s v="EXTERN"/>
    <s v="COCTEL"/>
    <s v="TNC JARDINS"/>
    <s v="E- Tandem Projects Coct 300 afv"/>
    <n v="152.24024219726417"/>
    <n v="196.98051139384989"/>
    <n v="138.38170262244327"/>
    <n v="0"/>
    <n v="3"/>
    <n v="11.7"/>
    <n v="0"/>
    <n v="0"/>
    <n v="35.099999999999994"/>
    <n v="26.54"/>
    <n v="25.8"/>
    <n v="2"/>
    <n v="126"/>
    <n v="2"/>
    <n v="126"/>
    <n v="1"/>
    <n v="126"/>
    <n v="630"/>
    <n v="1338.4404562135571"/>
  </r>
  <r>
    <d v="2024-05-28T00:00:00"/>
    <x v="4"/>
    <x v="1"/>
    <s v="EXTERN"/>
    <s v="COCTEL"/>
    <s v="MASIA ROSAS"/>
    <s v="E-FEDEFARMA coffee+dinar cctel 150-laia"/>
    <n v="101.56517099506749"/>
    <n v="131.41308128299687"/>
    <n v="92.319619875707218"/>
    <n v="0"/>
    <n v="3"/>
    <n v="14"/>
    <n v="0"/>
    <n v="0"/>
    <n v="42"/>
    <n v="26.54"/>
    <n v="25.8"/>
    <n v="1"/>
    <n v="82"/>
    <n v="1"/>
    <n v="82"/>
    <n v="1"/>
    <n v="82"/>
    <n v="246"/>
    <n v="1198.7294721537717"/>
  </r>
  <r>
    <d v="2024-05-28T00:00:00"/>
    <x v="4"/>
    <x v="1"/>
    <s v="EXTERN"/>
    <s v="COFFEE"/>
    <s v="PAVELLÓ CORNELLÀ"/>
    <s v="E - GBT mediolanum x 80 coffe MM"/>
    <n v="64.343721949380438"/>
    <n v="83.253015573568305"/>
    <n v="58.486466310813242"/>
    <n v="0"/>
    <n v="1"/>
    <n v="10"/>
    <n v="3"/>
    <n v="3"/>
    <n v="19"/>
    <n v="26.54"/>
    <n v="25.8"/>
    <n v="1"/>
    <n v="92"/>
    <n v="1"/>
    <n v="92"/>
    <n v="4"/>
    <n v="92"/>
    <n v="552"/>
    <n v="746.48240383376196"/>
  </r>
  <r>
    <d v="2024-05-29T00:00:00"/>
    <x v="4"/>
    <x v="1"/>
    <s v="MASIA PROPIES"/>
    <s v="COCTEL"/>
    <s v="CLOS LA PLANA"/>
    <s v="E-VOXELGROUP 180 PAX AFV "/>
    <n v="210.77102457875472"/>
    <n v="272.71228427719166"/>
    <n v="191.58438546683459"/>
    <n v="0"/>
    <n v="3"/>
    <n v="17.23"/>
    <n v="2"/>
    <n v="10"/>
    <n v="71.69"/>
    <n v="26.54"/>
    <n v="25.8"/>
    <n v="1"/>
    <n v="74"/>
    <n v="1"/>
    <n v="74"/>
    <n v="2"/>
    <n v="74"/>
    <n v="296"/>
    <n v="2096.1492943227813"/>
  </r>
  <r>
    <d v="2024-05-29T00:00:00"/>
    <x v="4"/>
    <x v="1"/>
    <s v="EXTERN"/>
    <s v="BANQUET"/>
    <s v="DRASSANES"/>
    <s v="E - Spaintacular 150 gala cristina"/>
    <n v="126.51565513295246"/>
    <n v="163.69599842810004"/>
    <n v="114.9988433610521"/>
    <n v="0"/>
    <n v="3"/>
    <n v="13.5"/>
    <n v="3"/>
    <n v="4"/>
    <n v="52.5"/>
    <n v="26.54"/>
    <n v="25.8"/>
    <n v="2"/>
    <n v="114"/>
    <n v="2"/>
    <n v="114"/>
    <n v="1"/>
    <n v="114"/>
    <n v="570"/>
    <n v="1553.3724969221046"/>
  </r>
  <r>
    <d v="2024-05-29T00:00:00"/>
    <x v="4"/>
    <x v="1"/>
    <s v="EXTERN"/>
    <s v="BANQUET"/>
    <s v="JEAN LEON"/>
    <s v="E- BODEGAS TORRES SOPAR X21MM"/>
    <n v="16.062635723355413"/>
    <n v="20.783113278418909"/>
    <n v="14.600442352961176"/>
    <n v="0"/>
    <n v="1"/>
    <n v="10"/>
    <n v="0"/>
    <n v="0"/>
    <n v="10"/>
    <n v="26.54"/>
    <n v="25.8"/>
    <n v="0"/>
    <n v="5"/>
    <n v="1"/>
    <n v="5"/>
    <n v="1"/>
    <n v="5"/>
    <n v="10"/>
    <n v="286.43219135473549"/>
  </r>
  <r>
    <d v="2024-05-29T00:00:00"/>
    <x v="4"/>
    <x v="1"/>
    <s v="EXTERN"/>
    <s v="COCTEL"/>
    <s v="CAN FARRES"/>
    <s v="E- GP PHARM COCT 165 PAX AFV "/>
    <n v="83.911323700723713"/>
    <n v="108.5711321510264"/>
    <n v="76.272815094206379"/>
    <n v="0"/>
    <n v="3"/>
    <n v="11.1"/>
    <n v="0"/>
    <n v="0"/>
    <n v="33.299999999999997"/>
    <n v="26.54"/>
    <n v="25.8"/>
    <n v="0"/>
    <n v="61"/>
    <n v="1"/>
    <n v="61"/>
    <n v="2"/>
    <n v="61"/>
    <n v="183"/>
    <n v="968.91707094595643"/>
  </r>
  <r>
    <d v="2024-05-29T00:00:00"/>
    <x v="4"/>
    <x v="1"/>
    <s v="EXTERN"/>
    <s v="COCTEL"/>
    <s v="TERRAZA MIRAMAR"/>
    <s v="E-SPAIN IN STYLE DMC 90 ccte laia"/>
    <n v="112.35243862721826"/>
    <n v="145.37050452441608"/>
    <n v="102.1249147178342"/>
    <n v="0"/>
    <n v="3"/>
    <n v="10.75"/>
    <n v="0"/>
    <n v="0"/>
    <n v="32.25"/>
    <n v="26.54"/>
    <n v="25.8"/>
    <n v="0"/>
    <n v="112"/>
    <n v="1"/>
    <n v="112"/>
    <n v="2"/>
    <n v="112"/>
    <n v="336"/>
    <n v="1081.5934578694685"/>
  </r>
  <r>
    <d v="2024-05-30T00:00:00"/>
    <x v="4"/>
    <x v="1"/>
    <s v="EXTERN"/>
    <s v="COCTEL"/>
    <s v="19TH HOLE"/>
    <s v="E-NEVERENOUGH coffe+ dinar cctel 100-laia"/>
    <n v="34.834631689204514"/>
    <n v="45.071811929101258"/>
    <n v="31.663609922084479"/>
    <n v="0"/>
    <n v="2"/>
    <n v="11"/>
    <n v="0"/>
    <n v="0"/>
    <n v="22"/>
    <n v="26.54"/>
    <n v="25.8"/>
    <n v="0"/>
    <n v="114"/>
    <n v="1"/>
    <n v="114"/>
    <n v="1"/>
    <n v="114"/>
    <n v="228"/>
    <n v="620.2388535403901"/>
  </r>
  <r>
    <d v="2024-05-30T00:00:00"/>
    <x v="4"/>
    <x v="1"/>
    <s v="EXTERN"/>
    <s v="BANQUET"/>
    <s v="RAVENTOS I BLANC"/>
    <s v="E- RiB dinar banquet x 18 MM"/>
    <n v="18.485291178283628"/>
    <n v="23.91773723562801"/>
    <n v="16.802561726143182"/>
    <n v="0"/>
    <n v="1"/>
    <n v="7.5"/>
    <n v="0"/>
    <n v="0"/>
    <n v="7.5"/>
    <n v="26.54"/>
    <n v="25.8"/>
    <n v="0"/>
    <n v="20"/>
    <n v="1"/>
    <n v="20"/>
    <n v="1"/>
    <n v="20"/>
    <n v="40"/>
    <n v="257.12959014005486"/>
  </r>
  <r>
    <d v="2024-05-30T00:00:00"/>
    <x v="4"/>
    <x v="1"/>
    <s v="EXTERN"/>
    <s v="BLAYET"/>
    <s v="BCN"/>
    <s v="NEVER ENOUGH"/>
    <n v="2.1502859067410194"/>
    <n v="2.7822106129074848"/>
    <n v="1.9545438223508937"/>
    <n v="0"/>
    <n v="3"/>
    <n v="3"/>
    <n v="0"/>
    <n v="0"/>
    <n v="9"/>
    <n v="26.54"/>
    <n v="25.8"/>
    <n v="0"/>
    <n v="150"/>
    <n v="0"/>
    <n v="150"/>
    <n v="2"/>
    <n v="150"/>
    <n v="300"/>
    <n v="300.60704034199944"/>
  </r>
  <r>
    <d v="2024-05-30T00:00:00"/>
    <x v="4"/>
    <x v="1"/>
    <s v="MASIA PROPIES"/>
    <s v="COCTEL"/>
    <s v="MASIA ESPLUGUES"/>
    <s v="E - GRADUACIÓ 200 MG"/>
    <n v="52.682004715154974"/>
    <n v="68.164160016233367"/>
    <n v="47.886323647596889"/>
    <n v="0"/>
    <n v="1"/>
    <n v="11.45"/>
    <n v="1"/>
    <n v="3"/>
    <n v="14.45"/>
    <n v="26.54"/>
    <n v="25.8"/>
    <n v="0"/>
    <n v="92"/>
    <n v="1"/>
    <n v="92"/>
    <n v="1"/>
    <n v="92"/>
    <n v="184"/>
    <n v="529.85888837898517"/>
  </r>
  <r>
    <d v="2024-05-30T00:00:00"/>
    <x v="4"/>
    <x v="1"/>
    <s v="MASIA PROPIES"/>
    <s v="COCTEL"/>
    <s v="MASIA ESPLUGUES"/>
    <s v="E - BIG BOX 230 MG"/>
    <n v="103.71545690180849"/>
    <n v="134.19529189590432"/>
    <n v="94.274163698058089"/>
    <n v="0"/>
    <n v="1"/>
    <n v="19.5"/>
    <n v="1"/>
    <n v="3"/>
    <n v="22.5"/>
    <n v="26.54"/>
    <n v="25.8"/>
    <n v="0"/>
    <n v="92"/>
    <n v="1"/>
    <n v="92"/>
    <n v="1"/>
    <n v="92"/>
    <n v="184"/>
    <n v="838.21131249577093"/>
  </r>
  <r>
    <d v="2024-05-02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03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04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06T00:00:00"/>
    <x v="4"/>
    <x v="3"/>
    <m/>
    <m/>
    <s v="ATMETLLER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</r>
  <r>
    <d v="2024-05-08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09T00:00:00"/>
    <x v="4"/>
    <x v="3"/>
    <m/>
    <m/>
    <s v="ATMETLLER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</r>
  <r>
    <d v="2024-05-10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11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13T00:00:00"/>
    <x v="4"/>
    <x v="3"/>
    <m/>
    <m/>
    <s v="ATMETLLER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</r>
  <r>
    <d v="2024-05-15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16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17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18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20T00:00:00"/>
    <x v="4"/>
    <x v="3"/>
    <m/>
    <m/>
    <s v="ATMETLLER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</r>
  <r>
    <d v="2024-05-22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23T00:00:00"/>
    <x v="4"/>
    <x v="3"/>
    <m/>
    <m/>
    <s v="ATMETLLER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</r>
  <r>
    <d v="2024-05-24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25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27T00:00:00"/>
    <x v="4"/>
    <x v="3"/>
    <m/>
    <m/>
    <s v="ATMETLLER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</r>
  <r>
    <d v="2024-05-29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30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31T00:00:00"/>
    <x v="4"/>
    <x v="3"/>
    <m/>
    <m/>
    <s v="ATMETLLER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</r>
  <r>
    <d v="2024-05-02T00:00:00"/>
    <x v="4"/>
    <x v="4"/>
    <m/>
    <m/>
    <s v="RESTAURANTS"/>
    <m/>
    <n v="40.6"/>
    <n v="52.53"/>
    <n v="0"/>
    <n v="0"/>
    <n v="1"/>
    <n v="2.25"/>
    <n v="0"/>
    <n v="0"/>
    <n v="2.25"/>
    <n v="26.54"/>
    <n v="25.8"/>
    <n v="0"/>
    <n v="0"/>
    <n v="0"/>
    <n v="0"/>
    <n v="2"/>
    <n v="150"/>
    <n v="300"/>
    <n v="213.01"/>
  </r>
  <r>
    <d v="2024-05-07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09T00:00:00"/>
    <x v="4"/>
    <x v="4"/>
    <m/>
    <m/>
    <s v="RESTAURANTS"/>
    <m/>
    <n v="40.6"/>
    <n v="52.53"/>
    <n v="0"/>
    <n v="0"/>
    <n v="2"/>
    <n v="4.75"/>
    <n v="0"/>
    <n v="0"/>
    <n v="9.5"/>
    <n v="26.54"/>
    <n v="25.8"/>
    <n v="0"/>
    <n v="0"/>
    <n v="0"/>
    <n v="0"/>
    <n v="2"/>
    <n v="150"/>
    <n v="300"/>
    <n v="343.51"/>
  </r>
  <r>
    <d v="2024-05-14T00:00:00"/>
    <x v="4"/>
    <x v="4"/>
    <m/>
    <m/>
    <s v="RESTAURANTS"/>
    <m/>
    <n v="40.6"/>
    <n v="52.53"/>
    <n v="0"/>
    <n v="0"/>
    <n v="1"/>
    <n v="4"/>
    <n v="0"/>
    <n v="0"/>
    <n v="4"/>
    <n v="26.54"/>
    <n v="25.8"/>
    <n v="0"/>
    <n v="0"/>
    <n v="0"/>
    <n v="0"/>
    <n v="2"/>
    <n v="150"/>
    <n v="300"/>
    <n v="244.51"/>
  </r>
  <r>
    <d v="2024-05-16T00:00:00"/>
    <x v="4"/>
    <x v="4"/>
    <m/>
    <m/>
    <s v="RESTAURANTS"/>
    <m/>
    <n v="40.6"/>
    <n v="52.53"/>
    <n v="0"/>
    <n v="0"/>
    <n v="2"/>
    <n v="6.3"/>
    <n v="0"/>
    <n v="0"/>
    <n v="12.6"/>
    <n v="26.54"/>
    <n v="25.8"/>
    <n v="0"/>
    <n v="0"/>
    <n v="0"/>
    <n v="0"/>
    <n v="2"/>
    <n v="150"/>
    <n v="300"/>
    <n v="399.30999999999995"/>
  </r>
  <r>
    <d v="2024-05-21T00:00:00"/>
    <x v="4"/>
    <x v="4"/>
    <m/>
    <m/>
    <s v="RESTAURANTS"/>
    <m/>
    <n v="40.6"/>
    <n v="52.53"/>
    <n v="0"/>
    <n v="0"/>
    <n v="2"/>
    <n v="3.75"/>
    <n v="0"/>
    <n v="0"/>
    <n v="7.5"/>
    <n v="26.54"/>
    <n v="25.8"/>
    <n v="0"/>
    <n v="0"/>
    <n v="0"/>
    <n v="0"/>
    <n v="2"/>
    <n v="150"/>
    <n v="300"/>
    <n v="307.51"/>
  </r>
  <r>
    <d v="2024-05-23T00:00:00"/>
    <x v="4"/>
    <x v="4"/>
    <m/>
    <m/>
    <s v="RESTAURANTS"/>
    <m/>
    <n v="40.6"/>
    <n v="52.53"/>
    <n v="0"/>
    <n v="0"/>
    <n v="2"/>
    <n v="5.6"/>
    <n v="0"/>
    <n v="0"/>
    <n v="11.2"/>
    <n v="26.54"/>
    <n v="25.8"/>
    <n v="0"/>
    <n v="0"/>
    <n v="0"/>
    <n v="0"/>
    <n v="2"/>
    <n v="150"/>
    <n v="300"/>
    <n v="374.11"/>
  </r>
  <r>
    <d v="2024-05-28T00:00:00"/>
    <x v="4"/>
    <x v="4"/>
    <m/>
    <m/>
    <s v="RESTAURANTS"/>
    <m/>
    <n v="40.6"/>
    <n v="52.53"/>
    <n v="0"/>
    <n v="0"/>
    <n v="2"/>
    <n v="3.85"/>
    <n v="0"/>
    <n v="0"/>
    <n v="7.7"/>
    <n v="26.54"/>
    <n v="25.8"/>
    <n v="0"/>
    <n v="0"/>
    <n v="0"/>
    <n v="0"/>
    <n v="2"/>
    <n v="150"/>
    <n v="300"/>
    <n v="311.11"/>
  </r>
  <r>
    <d v="2024-05-30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02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07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09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14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16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21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23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28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5-30T00:00:00"/>
    <x v="4"/>
    <x v="4"/>
    <m/>
    <m/>
    <s v="RESTAURANTS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</r>
  <r>
    <d v="2024-06-01T00:00:00"/>
    <x v="5"/>
    <x v="0"/>
    <s v="MASIA PROPIES"/>
    <s v="CASAMENT"/>
    <s v="JOSEP MASACHS"/>
    <s v="C - CANDELA &amp; ROBERT (ANNA C)"/>
    <n v="77.084408891083058"/>
    <n v="88.375162769152197"/>
    <n v="62.92768000192185"/>
    <n v="0"/>
    <n v="2"/>
    <n v="14.75"/>
    <n v="2"/>
    <n v="3"/>
    <n v="35.5"/>
    <n v="22.92"/>
    <n v="10.31"/>
    <n v="2"/>
    <n v="54"/>
    <n v="0"/>
    <n v="54"/>
    <n v="0"/>
    <n v="54"/>
    <n v="108"/>
    <n v="929.19405166215711"/>
  </r>
  <r>
    <d v="2024-06-01T00:00:00"/>
    <x v="5"/>
    <x v="1"/>
    <s v="EXTERN"/>
    <s v="PAELLES"/>
    <s v="MAS GROC"/>
    <s v="E - HIGH FIDELITY SHOW PAELLA 80-90 AFv"/>
    <n v="37.271539093802005"/>
    <n v="42.730798373581344"/>
    <n v="30.426535261986089"/>
    <n v="0"/>
    <n v="2"/>
    <n v="12.95"/>
    <n v="0"/>
    <n v="0"/>
    <n v="25.9"/>
    <n v="22.92"/>
    <n v="10.31"/>
    <n v="0"/>
    <n v="170"/>
    <n v="1"/>
    <n v="170"/>
    <n v="1"/>
    <n v="170"/>
    <n v="340"/>
    <n v="699.82287272936935"/>
  </r>
  <r>
    <d v="2024-06-01T00:00:00"/>
    <x v="5"/>
    <x v="0"/>
    <s v="MASIA PROPIES"/>
    <s v="CASAMENT"/>
    <s v="FONT DE LA CANYA"/>
    <s v="C - SOFIA i RICARD x 140 - check in 2 habs x nuvis 10:00h (aperitiu boda 14:00)"/>
    <n v="122.25672753843665"/>
    <n v="140.16398842857399"/>
    <n v="99.803998490683568"/>
    <n v="0"/>
    <n v="3"/>
    <n v="12.5"/>
    <n v="2"/>
    <n v="2"/>
    <n v="41.5"/>
    <n v="22.92"/>
    <n v="10.31"/>
    <n v="0"/>
    <n v="32"/>
    <n v="0"/>
    <n v="32"/>
    <n v="2"/>
    <n v="32"/>
    <n v="64"/>
    <n v="1159.3891144576942"/>
  </r>
  <r>
    <d v="2024-06-01T00:00:00"/>
    <x v="5"/>
    <x v="0"/>
    <s v="MASIA PROPIES"/>
    <s v="CASAMENT"/>
    <s v="MASIA ESPLUGUES"/>
    <s v="C - MERITXELL i HECTOR x 90 PAX (Sònia) Csmt tarda/vespre"/>
    <n v="63.027567273030236"/>
    <n v="72.259378995407587"/>
    <n v="51.452409659920832"/>
    <n v="0"/>
    <n v="0"/>
    <n v="0"/>
    <n v="1"/>
    <n v="3"/>
    <n v="3"/>
    <n v="22.92"/>
    <n v="10.31"/>
    <n v="0"/>
    <n v="92"/>
    <n v="1"/>
    <n v="92"/>
    <n v="0"/>
    <n v="92"/>
    <n v="92"/>
    <n v="298.31255592835868"/>
  </r>
  <r>
    <d v="2024-06-01T00:00:00"/>
    <x v="5"/>
    <x v="1"/>
    <s v="EXTERN"/>
    <s v="PARADETES"/>
    <s v="CAVES ROVELLATS"/>
    <s v="E - FESTA DE LA FLORACIO x 228 MM"/>
    <n v="42.018765589078775"/>
    <n v="48.173363481849925"/>
    <n v="34.30192269880898"/>
    <n v="0"/>
    <n v="3"/>
    <n v="10"/>
    <n v="0"/>
    <n v="0"/>
    <n v="30"/>
    <n v="22.92"/>
    <n v="10.31"/>
    <n v="1"/>
    <n v="35"/>
    <n v="0"/>
    <n v="35"/>
    <n v="1"/>
    <n v="35"/>
    <n v="70"/>
    <n v="716.24605176973762"/>
  </r>
  <r>
    <d v="2024-06-02T00:00:00"/>
    <x v="5"/>
    <x v="2"/>
    <s v="MASIA PROPIES"/>
    <s v="FOOD LOVERS"/>
    <s v="FONT DE LA CANYA"/>
    <s v="A - PNINNAE MANU GUIX"/>
    <n v="0"/>
    <n v="0"/>
    <n v="0"/>
    <n v="0"/>
    <n v="0"/>
    <n v="0"/>
    <n v="1"/>
    <n v="3"/>
    <n v="3"/>
    <n v="22.92"/>
    <n v="10.31"/>
    <n v="0"/>
    <n v="32"/>
    <n v="0"/>
    <n v="32"/>
    <n v="0"/>
    <n v="32"/>
    <n v="0"/>
    <n v="87.23"/>
  </r>
  <r>
    <d v="2024-06-03T00:00:00"/>
    <x v="5"/>
    <x v="1"/>
    <s v="EXTERN"/>
    <s v="BANQUET"/>
    <s v="FCB"/>
    <s v="E - FCB Coffees 50 cristina"/>
    <n v="8.046146602164022"/>
    <n v="9.2246866241840291"/>
    <n v="6.5684532827506557"/>
    <n v="0"/>
    <n v="1"/>
    <n v="8"/>
    <n v="0"/>
    <n v="0"/>
    <n v="8"/>
    <n v="22.92"/>
    <n v="10.31"/>
    <n v="0"/>
    <n v="98"/>
    <n v="1"/>
    <n v="98"/>
    <n v="1"/>
    <n v="98"/>
    <n v="196"/>
    <n v="252.93088650909868"/>
  </r>
  <r>
    <d v="2024-06-04T00:00:00"/>
    <x v="5"/>
    <x v="1"/>
    <s v="EXTERN"/>
    <s v="COCTEL"/>
    <s v="GO BEACH"/>
    <s v="E-GOBEACH INTRACON 580 PAX AFV "/>
    <n v="152.51917892546464"/>
    <n v="174.85905978731057"/>
    <n v="124.50868111525131"/>
    <n v="40"/>
    <n v="4"/>
    <n v="12.5"/>
    <n v="0"/>
    <n v="0"/>
    <n v="50"/>
    <n v="22.92"/>
    <n v="10.31"/>
    <n v="0"/>
    <n v="125"/>
    <n v="1"/>
    <n v="125"/>
    <n v="3"/>
    <n v="125"/>
    <n v="500"/>
    <n v="1557.4169198280265"/>
  </r>
  <r>
    <d v="2024-06-04T00:00:00"/>
    <x v="5"/>
    <x v="1"/>
    <s v="EXTERN"/>
    <s v="COCTEL"/>
    <s v="RAVENTOS I BLANC"/>
    <s v="E- RiB junta accionistes x coctel 60 MM"/>
    <n v="17.701522524760847"/>
    <n v="20.294310573204864"/>
    <n v="14.450597222051442"/>
    <n v="0"/>
    <n v="1"/>
    <n v="9.25"/>
    <n v="0"/>
    <n v="0"/>
    <n v="9.25"/>
    <n v="22.92"/>
    <n v="10.31"/>
    <n v="0"/>
    <n v="19"/>
    <n v="1"/>
    <n v="19"/>
    <n v="1"/>
    <n v="19"/>
    <n v="38"/>
    <n v="262.23123032001712"/>
  </r>
  <r>
    <d v="2024-06-05T00:00:00"/>
    <x v="5"/>
    <x v="1"/>
    <s v="EXTERN"/>
    <s v="BANQUET"/>
    <s v="RECINTE MODERNISTA"/>
    <s v="E- EVENTWORKS x cena 170MM"/>
    <n v="61.038962140305394"/>
    <n v="69.9794976962405"/>
    <n v="49.829016431089002"/>
    <n v="0"/>
    <n v="3"/>
    <n v="13"/>
    <n v="2"/>
    <n v="4"/>
    <n v="47"/>
    <n v="22.92"/>
    <n v="10.31"/>
    <n v="2"/>
    <n v="120"/>
    <n v="1"/>
    <n v="120"/>
    <n v="2"/>
    <n v="120"/>
    <n v="600"/>
    <n v="1218.8374762676349"/>
  </r>
  <r>
    <d v="2024-06-05T00:00:00"/>
    <x v="5"/>
    <x v="1"/>
    <s v="EXTERN"/>
    <s v="BANQUET"/>
    <s v="GRÍFOLS SANT CUGAT"/>
    <s v="E - Grifols sopar gala 26 cristina"/>
    <n v="10.227546347639599"/>
    <n v="11.725601664518365"/>
    <n v="8.3492339505186113"/>
    <n v="0"/>
    <n v="1"/>
    <n v="9.8000000000000007"/>
    <n v="0"/>
    <n v="0"/>
    <n v="9.8000000000000007"/>
    <n v="22.92"/>
    <n v="10.31"/>
    <n v="0"/>
    <n v="82"/>
    <n v="1"/>
    <n v="82"/>
    <n v="1"/>
    <n v="82"/>
    <n v="164"/>
    <n v="283.32678196267659"/>
  </r>
  <r>
    <d v="2024-06-05T00:00:00"/>
    <x v="5"/>
    <x v="1"/>
    <s v="EXTERN"/>
    <s v="COCTEL"/>
    <s v="CASA VICENS"/>
    <s v="E - BACUS 80 cocktail sopar cristina"/>
    <n v="29.05552939670341"/>
    <n v="33.31136836510899"/>
    <n v="23.719414632155143"/>
    <n v="0"/>
    <n v="1"/>
    <n v="9.3000000000000007"/>
    <n v="0"/>
    <n v="0"/>
    <n v="9.3000000000000007"/>
    <n v="22.92"/>
    <n v="10.31"/>
    <n v="0"/>
    <n v="110"/>
    <n v="1"/>
    <n v="110"/>
    <n v="1"/>
    <n v="110"/>
    <n v="220"/>
    <n v="344.92831239396753"/>
  </r>
  <r>
    <d v="2024-06-06T00:00:00"/>
    <x v="5"/>
    <x v="1"/>
    <s v="MASIA PROPIES"/>
    <s v="COCTEL"/>
    <s v="CLOS LA PLANA"/>
    <s v="E-LODGIFY 150-290 PAX AFV "/>
    <n v="132.05067598584853"/>
    <n v="151.39248198056688"/>
    <n v="107.79926579207617"/>
    <n v="0"/>
    <n v="3"/>
    <n v="13.5"/>
    <n v="2"/>
    <n v="8"/>
    <n v="56.5"/>
    <n v="22.92"/>
    <n v="10.31"/>
    <n v="2"/>
    <n v="65"/>
    <n v="0"/>
    <n v="65"/>
    <n v="2"/>
    <n v="65"/>
    <n v="260"/>
    <n v="1510.2684237584915"/>
  </r>
  <r>
    <d v="2024-06-06T00:00:00"/>
    <x v="5"/>
    <x v="1"/>
    <s v="EXTERN"/>
    <s v="BANQUET"/>
    <s v="FREIXENET"/>
    <s v="E- DINAR TIK TOKERS 75 PAX BARRIQUES "/>
    <n v="35.82323270541248"/>
    <n v="41.070354781228225"/>
    <n v="29.244213671090975"/>
    <n v="0"/>
    <n v="2"/>
    <m/>
    <n v="2"/>
    <n v="4"/>
    <n v="8"/>
    <n v="22.92"/>
    <n v="10.31"/>
    <n v="2"/>
    <n v="20"/>
    <n v="1"/>
    <n v="20"/>
    <n v="0"/>
    <n v="20"/>
    <n v="60"/>
    <n v="299.2438011577317"/>
  </r>
  <r>
    <d v="2024-06-06T00:00:00"/>
    <x v="5"/>
    <x v="1"/>
    <s v="EXTERN"/>
    <s v="COCTEL"/>
    <s v="CASA DE LES PUNXES"/>
    <s v="E - Kenpower 60 cocktail dinner cristina"/>
    <n v="21.250767192604311"/>
    <n v="24.363422339650484"/>
    <n v="17.348014947887009"/>
    <n v="0"/>
    <n v="1"/>
    <n v="11"/>
    <n v="0"/>
    <n v="0"/>
    <n v="11"/>
    <n v="22.92"/>
    <n v="10.31"/>
    <n v="0"/>
    <n v="104"/>
    <n v="1"/>
    <n v="104"/>
    <n v="1"/>
    <n v="104"/>
    <n v="208"/>
    <n v="349.22900448014178"/>
  </r>
  <r>
    <d v="2024-06-06T00:00:00"/>
    <x v="5"/>
    <x v="1"/>
    <s v="EXTERN"/>
    <s v="COCTEL"/>
    <s v="RECINTE MODERNISTA"/>
    <s v="E - High5Events_Amgen 50 cocktail lunch cristina"/>
    <n v="19.994674306377593"/>
    <n v="22.923346261097308"/>
    <n v="16.322606407635377"/>
    <n v="0"/>
    <n v="1"/>
    <n v="12.2"/>
    <n v="2"/>
    <n v="4"/>
    <n v="20.2"/>
    <n v="22.92"/>
    <n v="10.31"/>
    <n v="0"/>
    <n v="120"/>
    <n v="1"/>
    <n v="120"/>
    <n v="3"/>
    <n v="120"/>
    <n v="480"/>
    <n v="583.07862697511007"/>
  </r>
  <r>
    <d v="2024-06-06T00:00:00"/>
    <x v="5"/>
    <x v="1"/>
    <s v="EXTERN"/>
    <s v="COCTEL"/>
    <s v="GO BEACH"/>
    <s v="E-AMEX COCT 100 PAX AFV "/>
    <n v="20.280759518898982"/>
    <n v="23.251335118846079"/>
    <n v="16.556151413244294"/>
    <n v="0"/>
    <n v="1"/>
    <n v="10"/>
    <n v="0"/>
    <n v="0"/>
    <n v="10"/>
    <n v="22.92"/>
    <n v="10.31"/>
    <n v="1"/>
    <n v="125"/>
    <n v="1"/>
    <n v="125"/>
    <n v="0"/>
    <n v="125"/>
    <n v="250"/>
    <n v="339.46824605098936"/>
  </r>
  <r>
    <d v="2024-06-06T00:00:00"/>
    <x v="5"/>
    <x v="1"/>
    <s v="EXTERN"/>
    <s v="COCTEL"/>
    <s v="GRÍFOLS SANT CUGAT"/>
    <s v="E - Grifols cocktailafterworks 200 cristina"/>
    <n v="21.456390939104054"/>
    <n v="24.599164331157407"/>
    <n v="17.515875420668415"/>
    <n v="0"/>
    <n v="2"/>
    <n v="8"/>
    <n v="0"/>
    <n v="0"/>
    <n v="16"/>
    <n v="22.92"/>
    <n v="10.31"/>
    <n v="0"/>
    <n v="82"/>
    <n v="1"/>
    <n v="82"/>
    <n v="1"/>
    <n v="82"/>
    <n v="164"/>
    <n v="428.19583069092988"/>
  </r>
  <r>
    <d v="2024-06-07T00:00:00"/>
    <x v="5"/>
    <x v="0"/>
    <s v="MASIA PROPIES"/>
    <s v="CASAMENT"/>
    <s v="JOSEP MASACHS"/>
    <s v="C - SARA &amp; PASCAL x 100"/>
    <n v="68.092616559092491"/>
    <n v="78.066319225331441"/>
    <n v="55.587251001412362"/>
    <n v="0"/>
    <n v="2"/>
    <n v="13"/>
    <n v="2"/>
    <n v="3"/>
    <n v="32"/>
    <n v="22.92"/>
    <n v="10.31"/>
    <n v="2"/>
    <n v="54"/>
    <n v="0"/>
    <n v="54"/>
    <n v="2"/>
    <n v="54"/>
    <n v="216"/>
    <n v="868.12978678583613"/>
  </r>
  <r>
    <d v="2024-06-07T00:00:00"/>
    <x v="5"/>
    <x v="1"/>
    <s v="MASIA PROPIES"/>
    <s v="FULL DAY"/>
    <s v="CLOS LA PLANA"/>
    <s v="E-HELMS BRISCOE 210 AFV "/>
    <n v="88.038254072011327"/>
    <n v="100.93344614628025"/>
    <n v="71.869826335430091"/>
    <n v="0"/>
    <n v="3"/>
    <n v="10.85"/>
    <n v="2"/>
    <n v="3"/>
    <n v="38.549999999999997"/>
    <n v="22.92"/>
    <n v="10.31"/>
    <n v="2"/>
    <n v="65"/>
    <n v="0"/>
    <n v="65"/>
    <n v="0"/>
    <n v="65"/>
    <n v="130"/>
    <n v="1022.3695265537216"/>
  </r>
  <r>
    <d v="2024-06-07T00:00:00"/>
    <x v="5"/>
    <x v="2"/>
    <s v="MASIA PROPIES"/>
    <s v="FOOD LOVERS"/>
    <s v="FONT DE LA CANYA"/>
    <s v="A - PINNAE SOPAR SOLIDARI AFV"/>
    <n v="42.242269661361114"/>
    <n v="48.429604776966151"/>
    <n v="34.484379734440942"/>
    <n v="0"/>
    <n v="2"/>
    <n v="16.2"/>
    <n v="1"/>
    <n v="3"/>
    <n v="35.4"/>
    <n v="22.92"/>
    <n v="10.31"/>
    <n v="0"/>
    <n v="32"/>
    <n v="0"/>
    <n v="32"/>
    <n v="2"/>
    <n v="32"/>
    <n v="64"/>
    <n v="812.52065417276799"/>
  </r>
  <r>
    <d v="2024-06-07T00:00:00"/>
    <x v="5"/>
    <x v="1"/>
    <s v="EXTERN"/>
    <s v="COCTEL"/>
    <s v="MARINA PORT VELL"/>
    <s v="E-MCKINSEY 50 coffee +CCTEL migdia -LAIA"/>
    <n v="21.965980223907778"/>
    <n v="25.183394484022401"/>
    <n v="17.931877461909291"/>
    <n v="0"/>
    <n v="2"/>
    <n v="12.1"/>
    <n v="0"/>
    <n v="0"/>
    <n v="24.2"/>
    <n v="22.92"/>
    <n v="10.31"/>
    <n v="0"/>
    <n v="132"/>
    <n v="1"/>
    <n v="132"/>
    <n v="2"/>
    <n v="132"/>
    <n v="396"/>
    <n v="638.69285216983928"/>
  </r>
  <r>
    <d v="2024-06-07T00:00:00"/>
    <x v="5"/>
    <x v="1"/>
    <s v="MASIA PROPIES"/>
    <s v="TAPES + CAVA"/>
    <s v="EL NAUTIC"/>
    <s v="E- PEP VARIAS x 200 MM"/>
    <n v="0"/>
    <n v="0"/>
    <n v="0"/>
    <n v="0"/>
    <n v="0"/>
    <n v="0"/>
    <n v="1"/>
    <n v="4"/>
    <n v="4"/>
    <n v="22.92"/>
    <n v="10.31"/>
    <n v="2"/>
    <n v="66"/>
    <n v="1"/>
    <n v="66"/>
    <n v="0"/>
    <n v="66"/>
    <n v="198"/>
    <n v="124.3908"/>
  </r>
  <r>
    <d v="2024-06-07T00:00:00"/>
    <x v="5"/>
    <x v="1"/>
    <s v="EXTERN"/>
    <s v="BANQUET"/>
    <s v="LLOTJA DE MAR"/>
    <s v="E-LLOTJA dinar Gala 180 PAX AFV "/>
    <n v="80.161970564781882"/>
    <n v="91.903502906384546"/>
    <n v="65.440040399759724"/>
    <n v="0"/>
    <n v="2"/>
    <n v="13.5"/>
    <n v="0"/>
    <n v="0"/>
    <n v="27"/>
    <n v="22.92"/>
    <n v="10.31"/>
    <n v="1"/>
    <n v="130"/>
    <n v="2"/>
    <n v="130"/>
    <n v="1"/>
    <n v="130"/>
    <n v="520"/>
    <n v="894.32751387092605"/>
  </r>
  <r>
    <d v="2024-06-08T00:00:00"/>
    <x v="5"/>
    <x v="0"/>
    <s v="MASIA PROPIES"/>
    <s v="CASAMENT"/>
    <s v="MIRADOR"/>
    <s v="C - MARTA i LUÍS x 110 PAX (Sònia)"/>
    <n v="79.621403615559828"/>
    <n v="91.283757710016445"/>
    <n v="64.998749813380257"/>
    <n v="0"/>
    <n v="0"/>
    <n v="0"/>
    <n v="1"/>
    <n v="2"/>
    <n v="2"/>
    <n v="22.92"/>
    <n v="10.31"/>
    <n v="0"/>
    <n v="30"/>
    <n v="1"/>
    <n v="30"/>
    <n v="1"/>
    <n v="30"/>
    <n v="60"/>
    <n v="321.00991113895657"/>
  </r>
  <r>
    <d v="2024-06-08T00:00:00"/>
    <x v="5"/>
    <x v="0"/>
    <s v="MASIA PROPIES"/>
    <s v="CASAMENT"/>
    <s v="JOSEP MASACHS"/>
    <s v="C - DÀMARIS i XAVI x 100"/>
    <n v="75.89979260717223"/>
    <n v="87.017032656777189"/>
    <n v="61.96062122166532"/>
    <n v="0"/>
    <n v="2"/>
    <n v="13.5"/>
    <n v="2"/>
    <n v="3"/>
    <n v="33"/>
    <n v="22.92"/>
    <n v="10.31"/>
    <n v="2"/>
    <n v="54"/>
    <n v="0"/>
    <n v="54"/>
    <n v="0"/>
    <n v="54"/>
    <n v="108"/>
    <n v="880.68424648561472"/>
  </r>
  <r>
    <d v="2024-06-08T00:00:00"/>
    <x v="5"/>
    <x v="1"/>
    <s v="MASIA PROPIES"/>
    <s v="COCTEL"/>
    <s v="CLOS LA PLANA"/>
    <s v="E - GERMANS BOADA FESTA ESTIU 200 PAX sopar AFV"/>
    <n v="73.349566441616346"/>
    <n v="84.093268231242064"/>
    <n v="59.878749953697501"/>
    <n v="0"/>
    <n v="3"/>
    <n v="17.75"/>
    <n v="2"/>
    <n v="3"/>
    <n v="59.25"/>
    <n v="22.92"/>
    <n v="10.31"/>
    <n v="2"/>
    <n v="65"/>
    <n v="0"/>
    <n v="65"/>
    <n v="0"/>
    <n v="65"/>
    <n v="130"/>
    <n v="1351.4495846265559"/>
  </r>
  <r>
    <d v="2024-06-08T00:00:00"/>
    <x v="5"/>
    <x v="0"/>
    <s v="EXTERN"/>
    <s v="CASAMENT"/>
    <s v="GARRIGA CASTELLADRAL"/>
    <s v="C - GERARD i MARIYA x 160"/>
    <n v="145.55032195170148"/>
    <n v="166.86945620558674"/>
    <n v="118.81967074424671"/>
    <n v="0"/>
    <n v="3"/>
    <n v="19.5"/>
    <n v="0"/>
    <n v="0"/>
    <n v="58.5"/>
    <n v="22.92"/>
    <n v="10.31"/>
    <n v="1"/>
    <n v="134"/>
    <n v="2"/>
    <n v="134"/>
    <n v="2"/>
    <n v="134"/>
    <n v="670"/>
    <n v="1694.7514489015348"/>
  </r>
  <r>
    <d v="2024-06-08T00:00:00"/>
    <x v="5"/>
    <x v="1"/>
    <s v="EXTERN"/>
    <s v="BANQUET"/>
    <s v="MARINA PORT VELL"/>
    <s v="E - BARCELONA VIBES SOPAR BANQUET 23-LAIA"/>
    <n v="46.006078238595613"/>
    <n v="52.744708186723344"/>
    <n v="37.556956214483193"/>
    <n v="0"/>
    <n v="2"/>
    <n v="12.8"/>
    <n v="0"/>
    <n v="0"/>
    <n v="25.6"/>
    <n v="22.92"/>
    <n v="10.31"/>
    <n v="0"/>
    <n v="125"/>
    <n v="1"/>
    <n v="125"/>
    <n v="2"/>
    <n v="125"/>
    <n v="375"/>
    <n v="729.56274263980197"/>
  </r>
  <r>
    <d v="2024-06-08T00:00:00"/>
    <x v="5"/>
    <x v="0"/>
    <s v="MASIA PROPIES"/>
    <s v="CASAMENT"/>
    <s v="MASIA ESPLUGUES"/>
    <s v="C - ROSA &amp; XAVI x 180"/>
    <n v="99.577992828020513"/>
    <n v="114.16344045442594"/>
    <n v="81.290265542143942"/>
    <n v="0"/>
    <n v="1"/>
    <n v="14"/>
    <n v="1"/>
    <n v="3"/>
    <n v="17"/>
    <n v="22.92"/>
    <n v="10.31"/>
    <n v="0"/>
    <n v="92"/>
    <n v="1"/>
    <n v="92"/>
    <n v="2"/>
    <n v="92"/>
    <n v="276"/>
    <n v="707.2912988245904"/>
  </r>
  <r>
    <d v="2024-06-08T00:00:00"/>
    <x v="5"/>
    <x v="1"/>
    <s v="EXTERN"/>
    <s v="BANQUET"/>
    <s v="FCB"/>
    <s v="E - FCB Sopar 130 cristina"/>
    <n v="34.285524688110023"/>
    <n v="39.307414670828607"/>
    <n v="27.988909265943068"/>
    <n v="0"/>
    <n v="1"/>
    <n v="10.5"/>
    <n v="0"/>
    <n v="0"/>
    <n v="10.5"/>
    <n v="22.92"/>
    <n v="10.31"/>
    <n v="0"/>
    <n v="98"/>
    <n v="1"/>
    <n v="98"/>
    <n v="1"/>
    <n v="98"/>
    <n v="196"/>
    <n v="375.6734486248817"/>
  </r>
  <r>
    <d v="2024-06-09T00:00:00"/>
    <x v="5"/>
    <x v="1"/>
    <s v="EXTERN"/>
    <s v="COCTEL"/>
    <s v="ESPIELLS"/>
    <s v="E- J&amp;C coctel x 30 MM"/>
    <n v="11.29142573170351"/>
    <n v="12.945310229271588"/>
    <n v="9.2177294401267531"/>
    <n v="0"/>
    <n v="1"/>
    <n v="7.5"/>
    <n v="0"/>
    <n v="0"/>
    <n v="7.5"/>
    <n v="22.92"/>
    <n v="10.31"/>
    <n v="0"/>
    <n v="24"/>
    <n v="1"/>
    <n v="24"/>
    <n v="1"/>
    <n v="24"/>
    <n v="48"/>
    <n v="214.38526540110189"/>
  </r>
  <r>
    <d v="2024-06-10T00:00:00"/>
    <x v="5"/>
    <x v="1"/>
    <s v="EXTERN"/>
    <s v="COCTEL"/>
    <s v="TIBIDABO"/>
    <s v="E - ReedMackay 1200 cristina"/>
    <n v="442.32796929107576"/>
    <n v="507.11689751271228"/>
    <n v="361.09342093779202"/>
    <n v="40"/>
    <n v="7"/>
    <n v="20"/>
    <n v="6"/>
    <n v="4"/>
    <n v="164"/>
    <n v="22.92"/>
    <n v="10.31"/>
    <n v="4"/>
    <n v="110"/>
    <n v="3"/>
    <n v="110"/>
    <n v="9"/>
    <n v="110"/>
    <n v="1760"/>
    <n v="4801.4642877415799"/>
  </r>
  <r>
    <d v="2024-06-11T00:00:00"/>
    <x v="5"/>
    <x v="1"/>
    <s v="EXTERN"/>
    <s v="COCTEL"/>
    <s v="MARINA PORT VELL"/>
    <s v="E - BNETWORK cctel 300-laia"/>
    <n v="122.16732590952373"/>
    <n v="140.06149191052751"/>
    <n v="99.731015676430786"/>
    <n v="40"/>
    <n v="3"/>
    <n v="11.75"/>
    <n v="0"/>
    <n v="0"/>
    <n v="35.25"/>
    <n v="22.92"/>
    <n v="10.31"/>
    <n v="1"/>
    <n v="125"/>
    <n v="1"/>
    <n v="125"/>
    <n v="2"/>
    <n v="125"/>
    <n v="500"/>
    <n v="1201.9898334964821"/>
  </r>
  <r>
    <d v="2024-06-11T00:00:00"/>
    <x v="5"/>
    <x v="1"/>
    <s v="EXTERN"/>
    <s v="COCTEL"/>
    <s v="COFRADIA DEL CAVA"/>
    <s v="E - AECAVA x 40 MM"/>
    <n v="11.59986135145313"/>
    <n v="13.298923216531973"/>
    <n v="9.4695201492988623"/>
    <n v="0"/>
    <n v="1"/>
    <n v="9.25"/>
    <n v="1"/>
    <n v="3"/>
    <n v="12.25"/>
    <n v="22.92"/>
    <n v="10.31"/>
    <n v="0"/>
    <n v="24"/>
    <n v="1"/>
    <n v="24"/>
    <n v="1"/>
    <n v="24"/>
    <n v="48"/>
    <n v="300.79910471728402"/>
  </r>
  <r>
    <d v="2024-06-12T00:00:00"/>
    <x v="5"/>
    <x v="1"/>
    <s v="EXTERN"/>
    <s v="COCTEL"/>
    <s v="TIBIDABO"/>
    <s v="E-UAY EVENTS-85 PAX-CENA COCKTAIL noa"/>
    <n v="29.127050699833759"/>
    <n v="33.393365579546185"/>
    <n v="23.777800883557372"/>
    <n v="0"/>
    <n v="2"/>
    <n v="10.5"/>
    <n v="0"/>
    <n v="0"/>
    <n v="21"/>
    <n v="22.92"/>
    <n v="10.31"/>
    <n v="1"/>
    <n v="110"/>
    <n v="1"/>
    <n v="110"/>
    <n v="1"/>
    <n v="110"/>
    <n v="330"/>
    <n v="584.84621716293725"/>
  </r>
  <r>
    <d v="2024-06-12T00:00:00"/>
    <x v="5"/>
    <x v="1"/>
    <s v="EXTERN"/>
    <s v="COCTEL"/>
    <s v="LA PEDRERA"/>
    <s v="E-FUNDSPEOPLE coffee+cctel 150-laia"/>
    <n v="71.521303130346851"/>
    <n v="81.99721443719136"/>
    <n v="58.386251402228048"/>
    <n v="0"/>
    <n v="2"/>
    <n v="12.75"/>
    <n v="2"/>
    <n v="3"/>
    <n v="31.5"/>
    <n v="22.92"/>
    <n v="10.31"/>
    <n v="0"/>
    <n v="120"/>
    <n v="1"/>
    <n v="120"/>
    <n v="3"/>
    <n v="120"/>
    <n v="480"/>
    <n v="939.14276896976617"/>
  </r>
  <r>
    <d v="2024-06-12T00:00:00"/>
    <x v="5"/>
    <x v="1"/>
    <s v="EXTERN"/>
    <s v="BANQUET"/>
    <s v="19TH HOLE"/>
    <s v="E BigBox 80 sopar cristina"/>
    <n v="35.680190099151787"/>
    <n v="40.906360352353843"/>
    <n v="29.12744116828652"/>
    <n v="0"/>
    <n v="2"/>
    <n v="11.75"/>
    <n v="0"/>
    <n v="0"/>
    <n v="23.5"/>
    <n v="22.92"/>
    <n v="10.31"/>
    <n v="0"/>
    <n v="116"/>
    <n v="1"/>
    <n v="116"/>
    <n v="1"/>
    <n v="116"/>
    <n v="232"/>
    <n v="623.33119161979209"/>
  </r>
  <r>
    <d v="2024-06-13T00:00:00"/>
    <x v="5"/>
    <x v="1"/>
    <s v="MASIA PROPIES"/>
    <s v="BANQUET"/>
    <s v="FONT DE LA CANYA"/>
    <s v="E- FEGP x 400 MM"/>
    <n v="114.5234866374679"/>
    <n v="131.29803961755266"/>
    <n v="93.490985057817667"/>
    <n v="40"/>
    <n v="4"/>
    <n v="12.75"/>
    <n v="2"/>
    <n v="4"/>
    <n v="59"/>
    <n v="22.92"/>
    <n v="10.31"/>
    <n v="0"/>
    <n v="32"/>
    <n v="2"/>
    <n v="32"/>
    <n v="5"/>
    <n v="32"/>
    <n v="224"/>
    <n v="1533.8129113128382"/>
  </r>
  <r>
    <d v="2024-06-13T00:00:00"/>
    <x v="5"/>
    <x v="1"/>
    <s v="EXTERN"/>
    <s v="COCTEL"/>
    <s v="TEKNON"/>
    <s v="E - Festa Teknon 800 cristina"/>
    <n v="160.92293204328044"/>
    <n v="184.49373248368056"/>
    <n v="131.36906565501312"/>
    <n v="40"/>
    <n v="4"/>
    <n v="13"/>
    <n v="2"/>
    <n v="6"/>
    <n v="64"/>
    <n v="22.92"/>
    <n v="10.31"/>
    <n v="4"/>
    <n v="102"/>
    <n v="2"/>
    <n v="102"/>
    <n v="2"/>
    <n v="102"/>
    <n v="816"/>
    <n v="1917.9293301819744"/>
  </r>
  <r>
    <d v="2024-06-13T00:00:00"/>
    <x v="5"/>
    <x v="1"/>
    <s v="EXTERN"/>
    <s v="COCTEL"/>
    <s v="FUNDACIÓ MIRÓ"/>
    <s v="E- INTERNATIONAL MEETINGS coctel x150 MM"/>
    <n v="35.894754008542833"/>
    <n v="41.15235199566542"/>
    <n v="29.302599922493204"/>
    <n v="0"/>
    <n v="2"/>
    <n v="10.5"/>
    <n v="2"/>
    <n v="4"/>
    <n v="29"/>
    <n v="22.92"/>
    <n v="10.31"/>
    <n v="0"/>
    <n v="112"/>
    <n v="1"/>
    <n v="112"/>
    <n v="4"/>
    <n v="112"/>
    <n v="560"/>
    <n v="809.75570592670124"/>
  </r>
  <r>
    <d v="2024-06-13T00:00:00"/>
    <x v="5"/>
    <x v="1"/>
    <s v="EXTERN"/>
    <s v="COCTEL"/>
    <s v="GRÍFOLS SANT CUGAT"/>
    <s v="E - Grifols afterwork st cugat 140 cristina"/>
    <n v="14.214858997156437"/>
    <n v="16.296946369391783"/>
    <n v="11.604267466192825"/>
    <n v="0"/>
    <n v="2"/>
    <n v="11.3"/>
    <n v="0"/>
    <n v="0"/>
    <n v="22.6"/>
    <n v="22.92"/>
    <n v="10.31"/>
    <n v="0"/>
    <n v="82"/>
    <n v="1"/>
    <n v="82"/>
    <n v="2"/>
    <n v="82"/>
    <n v="246"/>
    <n v="547.23767283274105"/>
  </r>
  <r>
    <d v="2024-06-13T00:00:00"/>
    <x v="5"/>
    <x v="1"/>
    <s v="EXTERN"/>
    <s v="COCTEL"/>
    <s v="MARINA PORT VELL"/>
    <s v="E-KIMALDI 50 COFFEE+CCTEL -LAIA"/>
    <n v="17.455668045250281"/>
    <n v="20.012445148577019"/>
    <n v="14.249894482856284"/>
    <n v="0"/>
    <n v="1"/>
    <n v="8"/>
    <n v="0"/>
    <n v="0"/>
    <n v="8"/>
    <n v="22.92"/>
    <n v="10.31"/>
    <n v="0"/>
    <n v="125"/>
    <n v="1"/>
    <n v="125"/>
    <n v="1"/>
    <n v="125"/>
    <n v="250"/>
    <n v="295.09800767668361"/>
  </r>
  <r>
    <d v="2024-06-14T00:00:00"/>
    <x v="5"/>
    <x v="1"/>
    <s v="MASIA PROPIES"/>
    <s v="COCTEL"/>
    <s v="FONT DE LA CANYA"/>
    <s v="E - SMP x 150 cok sopar MM/santi"/>
    <n v="45.912206528237036"/>
    <n v="52.637086842774536"/>
    <n v="37.480324259517772"/>
    <n v="0"/>
    <n v="1"/>
    <n v="12"/>
    <n v="2"/>
    <n v="3"/>
    <n v="18"/>
    <n v="22.92"/>
    <n v="10.31"/>
    <n v="0"/>
    <n v="32"/>
    <n v="0"/>
    <n v="32"/>
    <n v="2"/>
    <n v="32"/>
    <n v="64"/>
    <n v="510.19401763052934"/>
  </r>
  <r>
    <d v="2024-06-14T00:00:00"/>
    <x v="5"/>
    <x v="1"/>
    <s v="EXTERN"/>
    <s v="COCTEL"/>
    <s v="GRÍFOLS SANT CUGAT"/>
    <s v="E - Grifols 250 cristina"/>
    <n v="71.682226062390143"/>
    <n v="82.181708169675048"/>
    <n v="58.517620467883063"/>
    <n v="0"/>
    <n v="2"/>
    <n v="14"/>
    <n v="0"/>
    <n v="0"/>
    <n v="28"/>
    <n v="22.92"/>
    <n v="10.31"/>
    <n v="0"/>
    <n v="82"/>
    <n v="2"/>
    <n v="82"/>
    <n v="2"/>
    <n v="82"/>
    <n v="328"/>
    <n v="836.40035469994814"/>
  </r>
  <r>
    <d v="2024-06-14T00:00:00"/>
    <x v="5"/>
    <x v="1"/>
    <s v="EXTERN"/>
    <s v="COCTEL"/>
    <s v="SANT BOI"/>
    <s v="E- PSSJD - Cati Morell x 300pax MM"/>
    <n v="54.758497709171813"/>
    <n v="62.779117303474635"/>
    <n v="44.701973729830847"/>
    <n v="0"/>
    <n v="3"/>
    <n v="13"/>
    <n v="0"/>
    <n v="0"/>
    <n v="39"/>
    <n v="22.92"/>
    <n v="10.31"/>
    <n v="0"/>
    <n v="105"/>
    <n v="1"/>
    <n v="105"/>
    <n v="2"/>
    <n v="105"/>
    <n v="315"/>
    <n v="980.81858874247723"/>
  </r>
  <r>
    <d v="2024-06-14T00:00:00"/>
    <x v="5"/>
    <x v="1"/>
    <s v="EXTERN"/>
    <s v="BUFFET"/>
    <s v="TERRAZA MIRAMAR"/>
    <s v="E-NUBA dinar bufet 200-laia"/>
    <n v="71.932550623346344"/>
    <n v="82.468698420205214"/>
    <n v="58.721972347790853"/>
    <n v="0"/>
    <n v="3"/>
    <n v="11"/>
    <n v="0"/>
    <n v="0"/>
    <n v="33"/>
    <n v="22.92"/>
    <n v="10.31"/>
    <n v="1"/>
    <n v="112"/>
    <n v="1"/>
    <n v="112"/>
    <n v="1"/>
    <n v="112"/>
    <n v="336"/>
    <n v="929.25882139134228"/>
  </r>
  <r>
    <d v="2024-06-14T00:00:00"/>
    <x v="5"/>
    <x v="1"/>
    <s v="EXTERN"/>
    <s v="COCTEL"/>
    <s v="AXA"/>
    <s v="E- LACER DINAR CCTEL 315-LAIA"/>
    <n v="83.009412445658825"/>
    <n v="95.168017006165229"/>
    <n v="67.764543033710936"/>
    <n v="0"/>
    <n v="2"/>
    <n v="12.75"/>
    <n v="2"/>
    <n v="4"/>
    <n v="33.5"/>
    <n v="22.92"/>
    <n v="10.31"/>
    <n v="1"/>
    <n v="64"/>
    <n v="1"/>
    <n v="64"/>
    <n v="1"/>
    <n v="64"/>
    <n v="192"/>
    <n v="932.97517248553493"/>
  </r>
  <r>
    <d v="2024-06-14T00:00:00"/>
    <x v="5"/>
    <x v="1"/>
    <s v="EXTERN"/>
    <s v="TAPES"/>
    <s v="CULLERE I SALA"/>
    <s v="E- CULLERE I SALA x tapes 100 MM"/>
    <n v="38.576802875930831"/>
    <n v="44.227247537060087"/>
    <n v="31.492084350076752"/>
    <n v="0"/>
    <n v="2"/>
    <n v="13"/>
    <n v="1"/>
    <n v="3"/>
    <n v="29"/>
    <n v="22.92"/>
    <n v="10.31"/>
    <n v="1"/>
    <n v="109"/>
    <n v="1"/>
    <n v="109"/>
    <n v="2"/>
    <n v="109"/>
    <n v="436"/>
    <n v="784.89173476306757"/>
  </r>
  <r>
    <d v="2024-06-14T00:00:00"/>
    <x v="5"/>
    <x v="1"/>
    <s v="EXTERN"/>
    <s v="PAELLES"/>
    <s v="VALLFORMOSA"/>
    <s v="E - EL TELER Festa treballadors Vallformosa x 115pax MM"/>
    <n v="26.395830936543636"/>
    <n v="30.262096953225935"/>
    <n v="21.548175908134787"/>
    <n v="0"/>
    <n v="2"/>
    <n v="11.3"/>
    <n v="0"/>
    <n v="0"/>
    <n v="22.6"/>
    <n v="22.92"/>
    <n v="10.31"/>
    <n v="0"/>
    <n v="26"/>
    <n v="1"/>
    <n v="26"/>
    <n v="2"/>
    <n v="26"/>
    <n v="78"/>
    <n v="538.87490379790427"/>
  </r>
  <r>
    <d v="2024-06-15T00:00:00"/>
    <x v="5"/>
    <x v="0"/>
    <s v="MASIA PROPIES"/>
    <s v="CASAMENT"/>
    <s v="MIRADOR"/>
    <s v="C - ANDREA I CARLOS x 80 (Sònia)"/>
    <n v="63.091489437702982"/>
    <n v="72.332664005810827"/>
    <n v="51.504592372111567"/>
    <n v="0"/>
    <n v="0"/>
    <n v="0"/>
    <n v="1"/>
    <n v="2"/>
    <n v="2"/>
    <n v="22.92"/>
    <n v="10.31"/>
    <n v="0"/>
    <n v="26"/>
    <n v="1"/>
    <n v="26"/>
    <n v="0"/>
    <n v="26"/>
    <n v="26"/>
    <n v="263.03834581562541"/>
  </r>
  <r>
    <d v="2024-06-15T00:00:00"/>
    <x v="5"/>
    <x v="0"/>
    <s v="MASIA PROPIES"/>
    <s v="CASAMENT"/>
    <s v="JOSEP MASACHS"/>
    <s v="C - AIDA i ALBERTO x 120"/>
    <n v="94.415316963185333"/>
    <n v="108.24457402679533"/>
    <n v="77.075726967488364"/>
    <n v="0"/>
    <n v="3"/>
    <n v="12.33"/>
    <n v="2"/>
    <n v="3"/>
    <n v="42.99"/>
    <n v="22.92"/>
    <n v="10.31"/>
    <n v="2"/>
    <n v="54"/>
    <n v="0"/>
    <n v="54"/>
    <n v="0"/>
    <n v="54"/>
    <n v="108"/>
    <n v="1115.3624179574692"/>
  </r>
  <r>
    <d v="2024-06-15T00:00:00"/>
    <x v="5"/>
    <x v="0"/>
    <s v="MASIA PROPIES"/>
    <s v="CASAMENT"/>
    <s v="CLOS LA PLANA"/>
    <s v="C - FEDERICO i MARTINA (ANNA GI)"/>
    <n v="95.840200124799679"/>
    <n v="109.87816353142028"/>
    <n v="78.238927061049253"/>
    <n v="0"/>
    <n v="3"/>
    <n v="20.25"/>
    <n v="2"/>
    <n v="3"/>
    <n v="66.75"/>
    <n v="22.92"/>
    <n v="10.31"/>
    <n v="2"/>
    <n v="64"/>
    <n v="0"/>
    <n v="64"/>
    <n v="1"/>
    <n v="64"/>
    <n v="192"/>
    <n v="1569.4904907172693"/>
  </r>
  <r>
    <d v="2024-06-15T00:00:00"/>
    <x v="5"/>
    <x v="0"/>
    <s v="MASIA PROPIES"/>
    <s v="CASAMENT"/>
    <s v="FONT DE LA CANYA"/>
    <s v="C - LORENA i RIKI x 180 "/>
    <n v="144.85741462681182"/>
    <n v="166.07505694246743"/>
    <n v="118.25401744238052"/>
    <n v="0"/>
    <n v="3"/>
    <n v="13"/>
    <n v="2"/>
    <n v="2"/>
    <n v="43"/>
    <n v="22.92"/>
    <n v="10.31"/>
    <n v="0"/>
    <n v="32"/>
    <n v="0"/>
    <n v="32"/>
    <n v="2"/>
    <n v="32"/>
    <n v="64"/>
    <n v="1253.3508890116598"/>
  </r>
  <r>
    <d v="2024-06-15T00:00:00"/>
    <x v="5"/>
    <x v="0"/>
    <s v="EXTERN"/>
    <s v="CASAMENT"/>
    <s v="MARIMURTRA"/>
    <s v="C - RAQUEL i DAVID x 100"/>
    <n v="78.472279778327433"/>
    <n v="89.966318715305889"/>
    <n v="64.060665210382084"/>
    <n v="0"/>
    <n v="4"/>
    <n v="19.75"/>
    <n v="0"/>
    <n v="0"/>
    <n v="79"/>
    <n v="22.92"/>
    <n v="10.31"/>
    <n v="0"/>
    <n v="240"/>
    <n v="2"/>
    <n v="240"/>
    <n v="4"/>
    <n v="240"/>
    <n v="1440"/>
    <n v="2068.7532637040154"/>
  </r>
  <r>
    <d v="2024-06-15T00:00:00"/>
    <x v="5"/>
    <x v="2"/>
    <s v="FOOD LOVERS"/>
    <s v="FOOD LOVERS"/>
    <s v="TARRACO"/>
    <s v="A - CONCERT EL BARRIO"/>
    <n v="0"/>
    <n v="0"/>
    <n v="0"/>
    <n v="0"/>
    <n v="0"/>
    <n v="0"/>
    <n v="1"/>
    <n v="3"/>
    <n v="3"/>
    <n v="22.92"/>
    <n v="10.31"/>
    <n v="0"/>
    <n v="0"/>
    <n v="0"/>
    <n v="0"/>
    <n v="0"/>
    <n v="0"/>
    <n v="0"/>
    <n v="54"/>
  </r>
  <r>
    <d v="2024-06-16T00:00:00"/>
    <x v="5"/>
    <x v="1"/>
    <s v="EXTERN"/>
    <s v="BANQUET"/>
    <s v="RECINTE MODERNISTA"/>
    <s v="E-CITITRAVEL GALA DINNER 56 AFV "/>
    <n v="32.868508869840028"/>
    <n v="37.682844859791757"/>
    <n v="26.832131660036428"/>
    <n v="0"/>
    <n v="2"/>
    <n v="13.3"/>
    <n v="0"/>
    <n v="0"/>
    <n v="26.6"/>
    <n v="22.92"/>
    <n v="10.31"/>
    <n v="0"/>
    <n v="120"/>
    <n v="1"/>
    <n v="120"/>
    <n v="2"/>
    <n v="120"/>
    <n v="360"/>
    <n v="704.66948538966824"/>
  </r>
  <r>
    <d v="2024-06-16T00:00:00"/>
    <x v="5"/>
    <x v="1"/>
    <s v="EXTERN"/>
    <s v="COCTEL"/>
    <s v="CASTELLBISBAL"/>
    <s v="E- AICSA x 80MM"/>
    <n v="21.456390939104054"/>
    <n v="24.599164331157407"/>
    <n v="17.515875420668415"/>
    <n v="0"/>
    <n v="2"/>
    <n v="8.1999999999999993"/>
    <n v="0"/>
    <n v="0"/>
    <n v="16.399999999999999"/>
    <n v="22.92"/>
    <n v="10.31"/>
    <n v="0"/>
    <n v="85"/>
    <n v="1"/>
    <n v="85"/>
    <n v="1"/>
    <n v="85"/>
    <n v="170"/>
    <n v="436.98343069092988"/>
  </r>
  <r>
    <d v="2024-06-18T00:00:00"/>
    <x v="5"/>
    <x v="1"/>
    <s v="EXTERN"/>
    <s v="BRUNCH"/>
    <s v="VILARNAU"/>
    <s v="E - DIBA x 50 brunch CB"/>
    <n v="7.3756343853170199"/>
    <n v="8.4559627388353586"/>
    <n v="6.0210821758547679"/>
    <n v="0"/>
    <n v="1"/>
    <n v="9"/>
    <n v="0"/>
    <n v="0"/>
    <n v="9"/>
    <n v="22.92"/>
    <n v="10.31"/>
    <n v="0"/>
    <n v="24"/>
    <n v="1"/>
    <n v="24"/>
    <n v="1"/>
    <n v="24"/>
    <n v="48"/>
    <n v="229.78347930000717"/>
  </r>
  <r>
    <d v="2024-06-19T00:00:00"/>
    <x v="5"/>
    <x v="1"/>
    <s v="MASIA PROPIES"/>
    <s v="PAELLES"/>
    <s v="MIRADOR"/>
    <s v="E- PROMSA concurs paella x 40pax MM"/>
    <n v="21.083139138392561"/>
    <n v="24.171241368313318"/>
    <n v="17.211172171163039"/>
    <n v="0"/>
    <n v="0"/>
    <n v="0"/>
    <n v="1"/>
    <n v="2"/>
    <n v="2"/>
    <n v="22.92"/>
    <n v="10.31"/>
    <n v="0"/>
    <n v="26"/>
    <n v="1"/>
    <n v="26"/>
    <n v="0"/>
    <n v="26"/>
    <n v="26"/>
    <n v="138.57515267786891"/>
  </r>
  <r>
    <d v="2024-06-19T00:00:00"/>
    <x v="5"/>
    <x v="1"/>
    <s v="MASIA PROPIES"/>
    <s v="PAELLES"/>
    <s v="CLOS LA PLANA"/>
    <s v="E-OKTEAM CONCURSO P 70 PAX AFV"/>
    <n v="37.62467552800809"/>
    <n v="43.135659619864981"/>
    <n v="30.714817378284589"/>
    <n v="0"/>
    <n v="1"/>
    <n v="13.75"/>
    <n v="2"/>
    <n v="3"/>
    <n v="19.75"/>
    <n v="22.92"/>
    <n v="10.31"/>
    <n v="1"/>
    <n v="64"/>
    <n v="1"/>
    <n v="64"/>
    <n v="1"/>
    <n v="64"/>
    <n v="192"/>
    <n v="551.00835252615752"/>
  </r>
  <r>
    <d v="2024-06-19T00:00:00"/>
    <x v="5"/>
    <x v="1"/>
    <s v="EXTERN"/>
    <s v="FULL DAY"/>
    <s v="MASIA ROSES"/>
    <s v="E- EVENTOEMPRESA x 190 MM"/>
    <n v="83.568172626364642"/>
    <n v="95.808620243955772"/>
    <n v="68.220685622790825"/>
    <n v="0"/>
    <n v="3"/>
    <n v="17.45"/>
    <n v="0"/>
    <n v="0"/>
    <n v="52.349999999999994"/>
    <n v="22.92"/>
    <n v="10.31"/>
    <n v="0"/>
    <n v="96"/>
    <n v="2"/>
    <n v="96"/>
    <n v="3"/>
    <n v="96"/>
    <n v="480"/>
    <n v="1350.1354784931113"/>
  </r>
  <r>
    <d v="2024-06-20T00:00:00"/>
    <x v="5"/>
    <x v="1"/>
    <s v="EXTERN"/>
    <s v="COCTEL"/>
    <s v="CASA BATLLÓ"/>
    <s v="E-HANNAN 100 cctel-laia"/>
    <n v="46.82410314314896"/>
    <n v="53.682551326848724"/>
    <n v="38.224748964896179"/>
    <n v="0"/>
    <n v="2"/>
    <n v="11.25"/>
    <n v="0"/>
    <n v="0"/>
    <n v="22.5"/>
    <n v="22.92"/>
    <n v="10.31"/>
    <n v="0"/>
    <n v="120"/>
    <n v="1"/>
    <n v="120"/>
    <n v="2"/>
    <n v="120"/>
    <n v="360"/>
    <n v="672.21740343489375"/>
  </r>
  <r>
    <d v="2024-06-20T00:00:00"/>
    <x v="5"/>
    <x v="1"/>
    <s v="EXTERN"/>
    <s v="COCTEL"/>
    <s v="DFACTORY"/>
    <s v="E - TRANSCALIT x 75+100 AFV "/>
    <n v="37.660436179573267"/>
    <n v="43.176658227083578"/>
    <n v="30.744010503985709"/>
    <n v="0"/>
    <n v="2"/>
    <n v="13.25"/>
    <n v="0"/>
    <n v="0"/>
    <n v="26.5"/>
    <n v="22.92"/>
    <n v="10.31"/>
    <n v="0"/>
    <n v="120"/>
    <n v="1"/>
    <n v="120"/>
    <n v="2"/>
    <n v="120"/>
    <n v="360"/>
    <n v="717.06710491064234"/>
  </r>
  <r>
    <d v="2024-06-20T00:00:00"/>
    <x v="5"/>
    <x v="1"/>
    <s v="EXTERN"/>
    <s v="BANQUET"/>
    <s v="GO BEACH"/>
    <s v="E-BSPORT CENA 140 PAX AFV"/>
    <n v="33.069662534894128"/>
    <n v="37.913462025396356"/>
    <n v="26.996342992105195"/>
    <n v="0"/>
    <n v="1"/>
    <n v="8.5500000000000007"/>
    <n v="0"/>
    <n v="0"/>
    <n v="8.5500000000000007"/>
    <n v="22.92"/>
    <n v="10.31"/>
    <n v="0"/>
    <n v="125"/>
    <n v="1"/>
    <n v="125"/>
    <n v="1"/>
    <n v="125"/>
    <n v="250"/>
    <n v="351.25946755239573"/>
  </r>
  <r>
    <d v="2024-06-20T00:00:00"/>
    <x v="5"/>
    <x v="1"/>
    <s v="MASIA PROPIES"/>
    <s v="PAELLES"/>
    <s v="MIRADOR"/>
    <s v="E- PROMSA concurs paella x 35pax MM"/>
    <n v="21.083139138392561"/>
    <n v="24.171241368313318"/>
    <n v="17.211172171163039"/>
    <n v="0"/>
    <n v="0"/>
    <n v="0"/>
    <n v="1"/>
    <n v="2"/>
    <n v="2"/>
    <n v="22.92"/>
    <n v="10.31"/>
    <n v="0"/>
    <n v="26"/>
    <n v="1"/>
    <n v="26"/>
    <n v="0"/>
    <n v="26"/>
    <n v="26"/>
    <n v="138.57515267786891"/>
  </r>
  <r>
    <d v="2024-06-21T00:00:00"/>
    <x v="5"/>
    <x v="2"/>
    <s v="FOOD LOVERS"/>
    <s v="FOOD LOVERS"/>
    <m/>
    <s v="A - CLUB TARRACO"/>
    <n v="0"/>
    <n v="0"/>
    <n v="0"/>
    <n v="0"/>
    <n v="0"/>
    <n v="0"/>
    <n v="1"/>
    <n v="3"/>
    <n v="3"/>
    <n v="22.92"/>
    <n v="10.31"/>
    <n v="0"/>
    <n v="0"/>
    <n v="0"/>
    <n v="0"/>
    <n v="1"/>
    <n v="0"/>
    <n v="0"/>
    <n v="54"/>
  </r>
  <r>
    <d v="2024-06-21T00:00:00"/>
    <x v="5"/>
    <x v="0"/>
    <s v="MASIA PROPIES"/>
    <s v="CASAMENT"/>
    <s v="MIRADOR"/>
    <s v="C-CHLOE i GABRIEL x 90"/>
    <n v="64.391389122097038"/>
    <n v="73.822963378206779"/>
    <n v="52.565762491347058"/>
    <n v="0"/>
    <n v="0"/>
    <n v="0"/>
    <n v="1"/>
    <n v="2"/>
    <n v="2"/>
    <n v="22.92"/>
    <n v="10.31"/>
    <n v="0"/>
    <n v="26"/>
    <n v="1"/>
    <n v="26"/>
    <n v="0"/>
    <n v="26"/>
    <n v="26"/>
    <n v="266.88971499165092"/>
  </r>
  <r>
    <d v="2024-06-21T00:00:00"/>
    <x v="5"/>
    <x v="1"/>
    <s v="EXTERN"/>
    <s v="COPA DE CAVA"/>
    <s v="SANT PAUL SCHOOL"/>
    <s v="E-ST PAULS SCHOOL_500 PAX_afv"/>
    <n v="44.589062420325618"/>
    <n v="51.120138375686487"/>
    <n v="36.400178608576546"/>
    <n v="0"/>
    <n v="2"/>
    <n v="10.3"/>
    <n v="0"/>
    <n v="0"/>
    <n v="20.6"/>
    <n v="22.92"/>
    <n v="10.31"/>
    <n v="0"/>
    <n v="98"/>
    <n v="1"/>
    <n v="98"/>
    <n v="2"/>
    <n v="98"/>
    <n v="294"/>
    <n v="613.9317794045885"/>
  </r>
  <r>
    <d v="2024-06-21T00:00:00"/>
    <x v="5"/>
    <x v="1"/>
    <s v="EXTERN"/>
    <s v="COCTEL"/>
    <s v="MASIA EGARA"/>
    <s v="E-m.egara 45-50 cctel sopar-laia"/>
    <n v="20.517673835518256"/>
    <n v="23.522950891669272"/>
    <n v="16.74955587101417"/>
    <n v="0"/>
    <n v="2"/>
    <n v="12"/>
    <n v="0"/>
    <n v="0"/>
    <n v="24"/>
    <n v="22.92"/>
    <n v="10.31"/>
    <n v="0"/>
    <n v="84"/>
    <n v="1"/>
    <n v="84"/>
    <n v="2"/>
    <n v="84"/>
    <n v="252"/>
    <n v="592.69938059820163"/>
  </r>
  <r>
    <d v="2024-06-22T00:00:00"/>
    <x v="5"/>
    <x v="0"/>
    <s v="MASIA PROPIES"/>
    <s v="CASAMENT"/>
    <s v="JOSEP MASACHS"/>
    <s v="C - ANA i CÉSAR x 90/100"/>
    <n v="69.599034006275403"/>
    <n v="79.793385554414769"/>
    <n v="56.817011421571785"/>
    <n v="0"/>
    <n v="2"/>
    <n v="13.75"/>
    <n v="2"/>
    <n v="3"/>
    <n v="33.5"/>
    <n v="22.92"/>
    <n v="10.31"/>
    <n v="2"/>
    <n v="54"/>
    <n v="0"/>
    <n v="54"/>
    <n v="0"/>
    <n v="54"/>
    <n v="108"/>
    <n v="871.01623098226185"/>
  </r>
  <r>
    <d v="2024-06-22T00:00:00"/>
    <x v="5"/>
    <x v="0"/>
    <s v="MASIA PROPIES"/>
    <s v="CASAMENT"/>
    <s v="CLOS LA PLANA"/>
    <s v="C - MARÍA UNZUE &amp; ALEJANDRO - 300 pax"/>
    <n v="201.62159317983082"/>
    <n v="231.15363238005605"/>
    <n v="164.59332411856548"/>
    <n v="0"/>
    <n v="4"/>
    <n v="16.149999999999999"/>
    <n v="3"/>
    <n v="6"/>
    <n v="82.6"/>
    <n v="22.92"/>
    <n v="10.31"/>
    <n v="3"/>
    <n v="65"/>
    <n v="0"/>
    <n v="65"/>
    <n v="2"/>
    <n v="65"/>
    <n v="325"/>
    <n v="2203.3935496784525"/>
  </r>
  <r>
    <d v="2024-06-22T00:00:00"/>
    <x v="5"/>
    <x v="0"/>
    <s v="MASIA PROPIES"/>
    <s v="CASAMENT"/>
    <s v="CAN PARELLADA"/>
    <s v="C - ALBA i DAVID x 140 (Sònia)"/>
    <n v="95.724693220244163"/>
    <n v="109.74573803010422"/>
    <n v="78.144633265034656"/>
    <n v="0"/>
    <n v="2"/>
    <n v="12.6"/>
    <n v="2"/>
    <n v="3"/>
    <n v="31.2"/>
    <n v="22.92"/>
    <n v="10.31"/>
    <n v="0"/>
    <n v="30"/>
    <n v="0"/>
    <n v="30"/>
    <n v="2"/>
    <n v="30"/>
    <n v="60"/>
    <n v="894.321064515383"/>
  </r>
  <r>
    <d v="2024-06-22T00:00:00"/>
    <x v="5"/>
    <x v="0"/>
    <s v="MASIA PROPIES"/>
    <s v="CASAMENT"/>
    <s v="FONT DE LA CANYA"/>
    <s v="C - RAQUEL &amp; JUANMA X 90 PAX"/>
    <n v="81.712731219905621"/>
    <n v="93.681407508418943"/>
    <n v="66.706000295788527"/>
    <n v="0"/>
    <n v="2"/>
    <n v="13.85"/>
    <n v="1"/>
    <n v="3"/>
    <n v="30.7"/>
    <n v="22.92"/>
    <n v="10.31"/>
    <n v="0"/>
    <n v="32"/>
    <n v="0"/>
    <n v="32"/>
    <n v="2"/>
    <n v="32"/>
    <n v="64"/>
    <n v="844.86453902411301"/>
  </r>
  <r>
    <d v="2024-06-22T00:00:00"/>
    <x v="5"/>
    <x v="0"/>
    <s v="EXTERN"/>
    <s v="CASAMENT"/>
    <s v="PARC SAMA"/>
    <s v="C - BEA GARCIA i CARLES COLLx 100 "/>
    <n v="75.716876874416371"/>
    <n v="86.807324780854074"/>
    <n v="61.811298383704127"/>
    <n v="0"/>
    <n v="3"/>
    <n v="19"/>
    <n v="0"/>
    <n v="0"/>
    <n v="57"/>
    <n v="22.92"/>
    <n v="10.31"/>
    <n v="1"/>
    <n v="180"/>
    <n v="1"/>
    <n v="180"/>
    <n v="2"/>
    <n v="180"/>
    <n v="720"/>
    <n v="1474.0775000389744"/>
  </r>
  <r>
    <d v="2024-06-22T00:00:00"/>
    <x v="5"/>
    <x v="0"/>
    <s v="MASIA PROPIES"/>
    <s v="CASAMENT"/>
    <s v="MIRADOR"/>
    <s v="C - MONTSE i QUIM x 70"/>
    <n v="80.909412883308462"/>
    <n v="92.760425045512207"/>
    <n v="66.050213218320138"/>
    <n v="0"/>
    <n v="0"/>
    <n v="0"/>
    <n v="1"/>
    <n v="2"/>
    <n v="2"/>
    <n v="22.92"/>
    <n v="10.31"/>
    <n v="0"/>
    <n v="26"/>
    <n v="0"/>
    <n v="26"/>
    <n v="0"/>
    <n v="26"/>
    <n v="0"/>
    <n v="308.95005114714081"/>
  </r>
  <r>
    <d v="2024-06-22T00:00:00"/>
    <x v="5"/>
    <x v="0"/>
    <s v="EXTERN"/>
    <s v="CASAMENT"/>
    <s v="CASTELLCIUTAT"/>
    <s v="C - ANNA i ALBERT x 150"/>
    <n v="90.54149968157347"/>
    <n v="103.80334865158194"/>
    <n v="73.913345134508063"/>
    <n v="0"/>
    <n v="2"/>
    <n v="21.75"/>
    <n v="0"/>
    <n v="0"/>
    <n v="43.5"/>
    <n v="22.92"/>
    <n v="10.31"/>
    <n v="0"/>
    <n v="304"/>
    <n v="1"/>
    <n v="304"/>
    <n v="2"/>
    <n v="304"/>
    <n v="912"/>
    <n v="1325.8033934676635"/>
  </r>
  <r>
    <d v="2024-06-22T00:00:00"/>
    <x v="5"/>
    <x v="0"/>
    <s v="EXTERN"/>
    <s v="CASAMENT"/>
    <s v="MAS ROSSET"/>
    <s v="C - LISA i RAMON x 80"/>
    <n v="92.621428578232866"/>
    <n v="106.18793014393351"/>
    <n v="75.611290308099115"/>
    <n v="0"/>
    <n v="3"/>
    <n v="20"/>
    <n v="0"/>
    <n v="0"/>
    <n v="60"/>
    <n v="22.92"/>
    <n v="10.31"/>
    <n v="0"/>
    <n v="300"/>
    <n v="1"/>
    <n v="300"/>
    <n v="2"/>
    <n v="300"/>
    <n v="900"/>
    <n v="1625.7906490302653"/>
  </r>
  <r>
    <d v="2024-06-23T00:00:00"/>
    <x v="5"/>
    <x v="0"/>
    <s v="EXTERN"/>
    <s v="CASAMENT"/>
    <s v="TORREBLANCA"/>
    <s v="C - IRIS &amp; TONI X 140 (JONA)"/>
    <n v="95.957137455417794"/>
    <n v="110.01222897702509"/>
    <n v="78.334388582091904"/>
    <n v="0"/>
    <n v="3"/>
    <n v="18.3"/>
    <n v="4"/>
    <n v="3"/>
    <n v="66.900000000000006"/>
    <n v="22.92"/>
    <n v="10.31"/>
    <n v="3"/>
    <n v="42"/>
    <n v="0"/>
    <n v="42"/>
    <n v="1"/>
    <n v="42"/>
    <n v="168"/>
    <n v="1566.1865550145349"/>
  </r>
  <r>
    <d v="2024-06-23T00:00:00"/>
    <x v="5"/>
    <x v="0"/>
    <s v="MASIA PROPIES"/>
    <s v="CASAMENT"/>
    <s v="JOSEP MASACHS"/>
    <s v="C - ELOI i ANNA x 150 (MARC)"/>
    <n v="93.3961383935779"/>
    <n v="107.07611372106537"/>
    <n v="76.243722885006633"/>
    <n v="0"/>
    <n v="3"/>
    <n v="13.3"/>
    <n v="2"/>
    <n v="3"/>
    <n v="45.900000000000006"/>
    <n v="22.92"/>
    <n v="10.31"/>
    <n v="2"/>
    <n v="54"/>
    <n v="0"/>
    <n v="54"/>
    <n v="1"/>
    <n v="54"/>
    <n v="162"/>
    <n v="1179.0111749996499"/>
  </r>
  <r>
    <d v="2024-06-23T00:00:00"/>
    <x v="5"/>
    <x v="0"/>
    <s v="MASIA PROPIES"/>
    <s v="CASAMENT"/>
    <s v="CAN PARELLADA"/>
    <s v="C - SANDRA i QUICO x 140 (SÒNIA)"/>
    <n v="83.196932362303698"/>
    <n v="95.383003452767738"/>
    <n v="67.917624486606158"/>
    <n v="0"/>
    <n v="2"/>
    <n v="14.55"/>
    <n v="2"/>
    <n v="3"/>
    <n v="35.1"/>
    <n v="22.92"/>
    <n v="10.31"/>
    <n v="1"/>
    <n v="30"/>
    <n v="0"/>
    <n v="30"/>
    <n v="1"/>
    <n v="30"/>
    <n v="60"/>
    <n v="927.40356030167766"/>
  </r>
  <r>
    <d v="2024-06-23T00:00:00"/>
    <x v="5"/>
    <x v="1"/>
    <s v="MASIA PROPIES"/>
    <s v="BANQUET"/>
    <s v="EL NAUTIC"/>
    <s v="E- Jordi Lleo sopar revetlla x 70 MM"/>
    <n v="16.561651756120945"/>
    <n v="18.987479968112126"/>
    <n v="13.520066340328434"/>
    <n v="0"/>
    <n v="1"/>
    <n v="9"/>
    <n v="1"/>
    <n v="3"/>
    <n v="12"/>
    <n v="22.92"/>
    <n v="10.31"/>
    <n v="0"/>
    <n v="80"/>
    <n v="1"/>
    <n v="80"/>
    <n v="1"/>
    <n v="80"/>
    <n v="160"/>
    <n v="340.63519806456156"/>
  </r>
  <r>
    <d v="2024-06-23T00:00:00"/>
    <x v="5"/>
    <x v="1"/>
    <s v="MASIA PROPIES"/>
    <s v="BANQUET"/>
    <s v="FONT DE LA CANYA"/>
    <s v="REVETLLA SANT JOAN"/>
    <n v="0"/>
    <n v="0"/>
    <n v="0"/>
    <n v="0"/>
    <n v="2"/>
    <n v="13.25"/>
    <n v="2"/>
    <n v="3"/>
    <n v="32.5"/>
    <n v="22.92"/>
    <n v="10.31"/>
    <n v="0"/>
    <n v="32"/>
    <n v="0"/>
    <n v="32"/>
    <n v="2"/>
    <n v="32"/>
    <n v="64"/>
    <n v="601.93439999999998"/>
  </r>
  <r>
    <d v="2024-06-25T00:00:00"/>
    <x v="5"/>
    <x v="1"/>
    <s v="EXTERN"/>
    <s v="COCTEL"/>
    <s v="GRÍFOLS"/>
    <s v="E - Grifols 350 cocktail sopar cristina"/>
    <n v="108.80178238704016"/>
    <n v="124.73826246257737"/>
    <n v="88.820084945639422"/>
    <n v="40"/>
    <n v="2"/>
    <n v="9.3000000000000007"/>
    <n v="1"/>
    <n v="3"/>
    <n v="21.6"/>
    <n v="22.92"/>
    <n v="10.31"/>
    <n v="1"/>
    <n v="82"/>
    <n v="2"/>
    <n v="82"/>
    <n v="2"/>
    <n v="82"/>
    <n v="410"/>
    <n v="892.87612979525693"/>
  </r>
  <r>
    <d v="2024-06-25T00:00:00"/>
    <x v="5"/>
    <x v="1"/>
    <s v="EXTERN"/>
    <s v="FIRA"/>
    <s v="FIRA BARCELONA"/>
    <s v="AEF Clarion 1800 cristina"/>
    <n v="1855.0837999433716"/>
    <n v="2126.8027494646512"/>
    <n v="1514.39339574529"/>
    <n v="100"/>
    <n v="8"/>
    <n v="15"/>
    <n v="22"/>
    <n v="3"/>
    <n v="186"/>
    <n v="242.92000000000002"/>
    <n v="10.31"/>
    <n v="10"/>
    <n v="115"/>
    <n v="4"/>
    <n v="115"/>
    <n v="22"/>
    <n v="115"/>
    <n v="4140"/>
    <n v="10292.953945153313"/>
  </r>
  <r>
    <d v="2024-06-26T00:00:00"/>
    <x v="5"/>
    <x v="1"/>
    <s v="EXTERN"/>
    <s v="COCTEL"/>
    <s v="FCB"/>
    <s v="E - FCB cocktail sopar 50 cristina"/>
    <n v="11.15732328833411"/>
    <n v="12.791565452201853"/>
    <n v="9.1082552187475763"/>
    <n v="0"/>
    <n v="1"/>
    <n v="8"/>
    <n v="0"/>
    <n v="0"/>
    <n v="8"/>
    <n v="22.92"/>
    <n v="10.31"/>
    <n v="0"/>
    <n v="98"/>
    <n v="1"/>
    <n v="98"/>
    <n v="1"/>
    <n v="98"/>
    <n v="196"/>
    <n v="262.14874395928359"/>
  </r>
  <r>
    <d v="2024-06-26T00:00:00"/>
    <x v="5"/>
    <x v="1"/>
    <s v="EXTERN"/>
    <s v="COCTEL"/>
    <s v="COL.LEGI INFERMERS"/>
    <s v="E-CRODA sopar cctel 65p-laia"/>
    <n v="35.286822931934879"/>
    <n v="40.455375672949287"/>
    <n v="28.806316785574264"/>
    <n v="0"/>
    <n v="2"/>
    <n v="13.25"/>
    <n v="0"/>
    <n v="0"/>
    <n v="26.5"/>
    <n v="22.92"/>
    <n v="10.31"/>
    <n v="0"/>
    <n v="140"/>
    <n v="1"/>
    <n v="140"/>
    <n v="2"/>
    <n v="140"/>
    <n v="420"/>
    <n v="725.91051539045839"/>
  </r>
  <r>
    <d v="2024-06-26T00:00:00"/>
    <x v="5"/>
    <x v="1"/>
    <s v="EXTERN"/>
    <s v="BLAYET"/>
    <s v="GERMANS BOADA"/>
    <s v="E- ENTREGA BLAYET AFV "/>
    <n v="3.3391508398980689"/>
    <n v="3.8282449490363719"/>
    <n v="2.7259081123415223"/>
    <n v="0"/>
    <n v="1"/>
    <n v="3"/>
    <n v="0"/>
    <n v="0"/>
    <n v="3"/>
    <n v="22.92"/>
    <n v="10.31"/>
    <n v="0"/>
    <n v="80"/>
    <n v="0"/>
    <n v="80"/>
    <n v="1"/>
    <n v="80"/>
    <n v="80"/>
    <n v="118.29130390127598"/>
  </r>
  <r>
    <d v="2024-06-27T00:00:00"/>
    <x v="5"/>
    <x v="1"/>
    <s v="MASIA PROPIES"/>
    <s v="COCTEL"/>
    <s v="CLOS LA PLANA"/>
    <s v="E - EVENTSPLATFORM 15 PAX AFV"/>
    <n v="0"/>
    <n v="0"/>
    <n v="0"/>
    <n v="0"/>
    <n v="0"/>
    <n v="0"/>
    <n v="0"/>
    <n v="0"/>
    <n v="0"/>
    <n v="22.92"/>
    <n v="10.31"/>
    <n v="0"/>
    <n v="65"/>
    <n v="1"/>
    <n v="65"/>
    <n v="0"/>
    <n v="65"/>
    <n v="65"/>
    <n v="50.429000000000002"/>
  </r>
  <r>
    <d v="2024-06-27T00:00:00"/>
    <x v="5"/>
    <x v="1"/>
    <s v="EXTERN"/>
    <s v="BANQUET"/>
    <s v="GRÍFOLS"/>
    <s v="E - Grifols dinar 10 cristina"/>
    <n v="5.3730378976673077"/>
    <n v="6.1600407345940011"/>
    <n v="4.386267136592382"/>
    <n v="0"/>
    <n v="0"/>
    <n v="0"/>
    <n v="0"/>
    <n v="0"/>
    <n v="0"/>
    <n v="22.92"/>
    <n v="10.31"/>
    <n v="0"/>
    <n v="82"/>
    <n v="1"/>
    <n v="82"/>
    <n v="0"/>
    <n v="82"/>
    <n v="82"/>
    <n v="70.846545768853687"/>
  </r>
  <r>
    <d v="2024-06-28T00:00:00"/>
    <x v="5"/>
    <x v="1"/>
    <s v="MASIA PROPIES"/>
    <s v="POOL PARTY"/>
    <s v="JOSEP MASACHS"/>
    <s v="E-SOFTONIC POOL PARTY 150 PAX AFV "/>
    <n v="75.432624395287689"/>
    <n v="86.481437101725263"/>
    <n v="61.57924952578739"/>
    <n v="0"/>
    <n v="2"/>
    <n v="16.850000000000001"/>
    <n v="2"/>
    <n v="3"/>
    <n v="39.700000000000003"/>
    <n v="22.92"/>
    <n v="10.31"/>
    <n v="1"/>
    <n v="54"/>
    <n v="0"/>
    <n v="54"/>
    <n v="1"/>
    <n v="54"/>
    <n v="108"/>
    <n v="999.90011102280039"/>
  </r>
  <r>
    <d v="2024-06-28T00:00:00"/>
    <x v="5"/>
    <x v="0"/>
    <s v="MASIA PROPIES"/>
    <s v="CASAMENT"/>
    <s v="FONT DE LA CANYA"/>
    <s v="C - NURIA PUJOL i ALVARO x150 ( tb es queden tota la casa check out: 10:00, informats nuvis )"/>
    <n v="115.35559229857505"/>
    <n v="132.25202595927038"/>
    <n v="94.170272601475475"/>
    <n v="0"/>
    <n v="2"/>
    <n v="14.75"/>
    <n v="2"/>
    <n v="3"/>
    <n v="35.5"/>
    <n v="22.92"/>
    <n v="10.31"/>
    <n v="0"/>
    <n v="32"/>
    <n v="0"/>
    <n v="32"/>
    <n v="2"/>
    <n v="32"/>
    <n v="64"/>
    <n v="1030.942290859321"/>
  </r>
  <r>
    <d v="2024-06-28T00:00:00"/>
    <x v="5"/>
    <x v="1"/>
    <s v="EXTERN"/>
    <s v="COCTEL"/>
    <s v="FCB"/>
    <s v="E - FCB cocktail sopar 57 cristina"/>
    <n v="10.459990582813228"/>
    <n v="11.992092611439237"/>
    <n v="8.5389892675758521"/>
    <n v="0"/>
    <n v="1"/>
    <n v="11.5"/>
    <n v="0"/>
    <n v="0"/>
    <n v="11.5"/>
    <n v="22.92"/>
    <n v="10.31"/>
    <n v="0"/>
    <n v="98"/>
    <n v="1"/>
    <n v="98"/>
    <n v="1"/>
    <n v="98"/>
    <n v="196"/>
    <n v="323.08267246182839"/>
  </r>
  <r>
    <d v="2024-06-28T00:00:00"/>
    <x v="5"/>
    <x v="1"/>
    <s v="EXTERN"/>
    <s v="COCTEL"/>
    <s v="GO BEACH"/>
    <s v="E-GOBEACH 130 COCT AFV "/>
    <n v="33.042842046220244"/>
    <n v="37.882713069982408"/>
    <n v="26.974448147829357"/>
    <n v="0"/>
    <n v="1"/>
    <n v="9"/>
    <n v="0"/>
    <n v="0"/>
    <n v="9"/>
    <n v="22.92"/>
    <n v="10.31"/>
    <n v="0"/>
    <n v="125"/>
    <n v="1"/>
    <n v="125"/>
    <n v="2"/>
    <n v="125"/>
    <n v="375"/>
    <n v="392.35500326403206"/>
  </r>
  <r>
    <d v="2024-06-29T00:00:00"/>
    <x v="5"/>
    <x v="0"/>
    <s v="EXTERN"/>
    <s v="CASAMENT"/>
    <s v="TORREBLANCA"/>
    <s v="C - ALMUDENA i ELOI x 90 PAX (Sònia)"/>
    <n v="78.477509773618834"/>
    <n v="89.972314761611599"/>
    <n v="64.064934705015872"/>
    <n v="0"/>
    <n v="2"/>
    <n v="16"/>
    <n v="4"/>
    <n v="3"/>
    <n v="44"/>
    <n v="22.92"/>
    <n v="10.31"/>
    <n v="2"/>
    <n v="42"/>
    <n v="0"/>
    <n v="42"/>
    <n v="2"/>
    <n v="42"/>
    <n v="168"/>
    <n v="1102.1975592402464"/>
  </r>
  <r>
    <d v="2024-06-29T00:00:00"/>
    <x v="5"/>
    <x v="0"/>
    <s v="MASIA PROPIES"/>
    <s v="CASAMENT"/>
    <s v="JOSEP MASACHS"/>
    <s v="C - ALEJANDRA i CARLOS x 120"/>
    <n v="91.437885113869001"/>
    <n v="104.83102998977506"/>
    <n v="74.645107321613608"/>
    <n v="0"/>
    <n v="2"/>
    <n v="15.8"/>
    <n v="2"/>
    <n v="3"/>
    <n v="37.6"/>
    <n v="22.92"/>
    <n v="10.31"/>
    <n v="1"/>
    <n v="54"/>
    <n v="0"/>
    <n v="54"/>
    <n v="1"/>
    <n v="54"/>
    <n v="108"/>
    <n v="1009.5208224252577"/>
  </r>
  <r>
    <d v="2024-06-29T00:00:00"/>
    <x v="5"/>
    <x v="0"/>
    <s v="MASIA PROPIES"/>
    <s v="CASAMENT"/>
    <s v="CLOS LA PLANA"/>
    <s v="C - CLARA i CARLOS x 150 (GI)"/>
    <n v="104.16957108735987"/>
    <n v="119.42755912477558"/>
    <n v="85.038589899352729"/>
    <n v="0"/>
    <n v="3"/>
    <n v="13.85"/>
    <n v="2"/>
    <n v="3"/>
    <n v="47.55"/>
    <n v="22.92"/>
    <n v="10.31"/>
    <n v="1"/>
    <n v="65"/>
    <n v="0"/>
    <n v="65"/>
    <n v="1"/>
    <n v="65"/>
    <n v="130"/>
    <n v="1232.1637201114881"/>
  </r>
  <r>
    <d v="2024-06-29T00:00:00"/>
    <x v="5"/>
    <x v="1"/>
    <s v="MASIA PROPIES"/>
    <s v="SUMMER PARTY"/>
    <s v="CAN PARELLADA"/>
    <s v="E - RURALITY 200 P SUMMER PARTY AFV "/>
    <n v="81.386772880889069"/>
    <n v="93.307705203621438"/>
    <n v="66.439904955022868"/>
    <n v="0"/>
    <n v="2"/>
    <n v="14.425000000000001"/>
    <n v="2"/>
    <n v="3"/>
    <n v="34.85"/>
    <n v="22.92"/>
    <n v="10.31"/>
    <n v="0"/>
    <n v="30"/>
    <n v="0"/>
    <n v="30"/>
    <n v="2"/>
    <n v="30"/>
    <n v="60"/>
    <n v="917.54038303953337"/>
  </r>
  <r>
    <d v="2024-06-29T00:00:00"/>
    <x v="5"/>
    <x v="0"/>
    <s v="MASIA PROPIES"/>
    <s v="CASAMENT"/>
    <s v="FONT DE LA CANYA"/>
    <s v="C - MARTA I MANEL x 160 PAX"/>
    <n v="139.89902148404269"/>
    <n v="160.39039505857306"/>
    <n v="114.20624459829254"/>
    <n v="0"/>
    <n v="3"/>
    <n v="14.7"/>
    <n v="2"/>
    <n v="3"/>
    <n v="50.099999999999994"/>
    <n v="22.92"/>
    <n v="10.31"/>
    <n v="0"/>
    <n v="32"/>
    <n v="0"/>
    <n v="32"/>
    <n v="2"/>
    <n v="32"/>
    <n v="64"/>
    <n v="1366.4600611409085"/>
  </r>
  <r>
    <d v="2024-06-29T00:00:00"/>
    <x v="5"/>
    <x v="0"/>
    <s v="EXTERN"/>
    <s v="CASAMENT"/>
    <s v="EL MUNT"/>
    <s v="C - SARAH i ALEXIS x 130"/>
    <n v="99.982311694779256"/>
    <n v="114.6269809572912"/>
    <n v="81.620330319602175"/>
    <n v="0"/>
    <n v="3"/>
    <n v="21"/>
    <n v="3"/>
    <n v="4"/>
    <n v="75"/>
    <n v="22.92"/>
    <n v="10.31"/>
    <n v="0"/>
    <n v="170"/>
    <n v="2"/>
    <n v="170"/>
    <n v="6"/>
    <n v="170"/>
    <n v="1360"/>
    <n v="2039.3156229716726"/>
  </r>
  <r>
    <d v="2024-06-29T00:00:00"/>
    <x v="5"/>
    <x v="1"/>
    <s v="MASIA PROPIES"/>
    <s v="BANQUET"/>
    <s v="MIRADOR"/>
    <s v="E - 50EANIVERSARI 1974 - 2024 50PAX JC"/>
    <n v="16.749395176838107"/>
    <n v="19.202722656009755"/>
    <n v="13.673330250259282"/>
    <n v="0"/>
    <n v="0"/>
    <n v="0"/>
    <n v="1"/>
    <n v="2"/>
    <n v="2"/>
    <n v="22.92"/>
    <n v="10.31"/>
    <n v="0"/>
    <n v="26"/>
    <n v="1"/>
    <n v="26"/>
    <n v="0"/>
    <n v="26"/>
    <n v="26"/>
    <n v="125.73504808310715"/>
  </r>
  <r>
    <d v="2024-06-29T00:00:00"/>
    <x v="5"/>
    <x v="0"/>
    <s v="EXTERN"/>
    <s v="CASAMENT"/>
    <s v="MAS CASANOVAS"/>
    <s v="C - YIJUN i ORIOL x 80/90 (MARC)"/>
    <n v="69.880783239794525"/>
    <n v="80.116403331038285"/>
    <n v="57.047016760689445"/>
    <n v="0"/>
    <n v="3"/>
    <n v="21.25"/>
    <n v="0"/>
    <n v="0"/>
    <n v="63.75"/>
    <n v="22.92"/>
    <n v="10.31"/>
    <n v="1"/>
    <n v="208"/>
    <n v="2"/>
    <n v="208"/>
    <n v="1"/>
    <n v="208"/>
    <n v="832"/>
    <n v="1607.9214033315222"/>
  </r>
  <r>
    <d v="2024-06-29T00:00:00"/>
    <x v="5"/>
    <x v="1"/>
    <s v="EXTERN"/>
    <s v="PAELLES"/>
    <s v="SEU MAIEUTIKE"/>
    <s v="E- EL TELER ref. Maieutike comida x 67 MM"/>
    <n v="18.38544498594479"/>
    <n v="21.078408936260505"/>
    <n v="15.008915751085249"/>
    <n v="0"/>
    <n v="1"/>
    <n v="12.85"/>
    <n v="1"/>
    <n v="2"/>
    <n v="14.85"/>
    <n v="22.92"/>
    <n v="10.31"/>
    <n v="0"/>
    <n v="60"/>
    <n v="1"/>
    <n v="60"/>
    <n v="2"/>
    <n v="60"/>
    <n v="180"/>
    <n v="402.63076967329056"/>
  </r>
  <r>
    <d v="2024-06-30T00:00:00"/>
    <x v="5"/>
    <x v="1"/>
    <s v="EXTERN"/>
    <s v="BANQUET"/>
    <s v="EL MUNT"/>
    <s v="DINAR SARAH i ALEXIS x 80"/>
    <n v="0"/>
    <n v="0"/>
    <n v="0"/>
    <n v="0"/>
    <n v="2"/>
    <n v="11.2"/>
    <n v="2"/>
    <n v="4"/>
    <n v="30.4"/>
    <n v="22.92"/>
    <n v="10.31"/>
    <n v="0"/>
    <n v="170"/>
    <n v="1"/>
    <n v="170"/>
    <n v="2"/>
    <n v="170"/>
    <n v="510"/>
    <n v="715.37599999999986"/>
  </r>
  <r>
    <d v="2024-06-01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03T00:00:00"/>
    <x v="5"/>
    <x v="3"/>
    <m/>
    <m/>
    <s v="ATMETLLER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</r>
  <r>
    <d v="2024-06-05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06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07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08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10T00:00:00"/>
    <x v="5"/>
    <x v="3"/>
    <m/>
    <m/>
    <s v="ATMETLLER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</r>
  <r>
    <d v="2024-06-12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13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14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15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17T00:00:00"/>
    <x v="5"/>
    <x v="3"/>
    <m/>
    <m/>
    <s v="ATMETLLER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</r>
  <r>
    <d v="2024-06-19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20T00:00:00"/>
    <x v="5"/>
    <x v="3"/>
    <m/>
    <m/>
    <s v="ATMETLLER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</r>
  <r>
    <d v="2024-06-21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24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25T00:00:00"/>
    <x v="5"/>
    <x v="3"/>
    <m/>
    <m/>
    <s v="ATMETLLER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</r>
  <r>
    <d v="2024-06-26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27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28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29T00:00:00"/>
    <x v="5"/>
    <x v="3"/>
    <m/>
    <m/>
    <s v="ATMETLLER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</r>
  <r>
    <d v="2024-06-04T00:00:00"/>
    <x v="5"/>
    <x v="4"/>
    <m/>
    <m/>
    <s v="RESTAURANTS"/>
    <m/>
    <n v="129.6"/>
    <n v="148.58000000000001"/>
    <n v="0"/>
    <n v="0"/>
    <n v="2"/>
    <n v="4.75"/>
    <n v="0"/>
    <n v="0"/>
    <n v="9.5"/>
    <n v="22.92"/>
    <n v="10.31"/>
    <n v="0"/>
    <n v="0"/>
    <n v="0"/>
    <n v="0"/>
    <n v="2"/>
    <n v="150"/>
    <n v="300"/>
    <n v="561.79"/>
  </r>
  <r>
    <d v="2024-06-06T00:00:00"/>
    <x v="5"/>
    <x v="4"/>
    <m/>
    <m/>
    <s v="RESTAURANTS"/>
    <m/>
    <n v="129.6"/>
    <n v="148.58000000000001"/>
    <n v="0"/>
    <n v="0"/>
    <n v="2"/>
    <n v="6.5"/>
    <n v="0"/>
    <n v="0"/>
    <n v="13"/>
    <n v="22.92"/>
    <n v="10.31"/>
    <n v="0"/>
    <n v="0"/>
    <n v="0"/>
    <n v="0"/>
    <n v="2"/>
    <n v="150"/>
    <n v="300"/>
    <n v="624.79"/>
  </r>
  <r>
    <d v="2024-06-11T00:00:00"/>
    <x v="5"/>
    <x v="4"/>
    <m/>
    <m/>
    <s v="RESTAURANTS"/>
    <m/>
    <n v="129.6"/>
    <n v="148.58000000000001"/>
    <n v="0"/>
    <n v="0"/>
    <n v="2"/>
    <n v="3.25"/>
    <n v="0"/>
    <n v="0"/>
    <n v="6.5"/>
    <n v="22.92"/>
    <n v="10.31"/>
    <n v="0"/>
    <n v="0"/>
    <n v="0"/>
    <n v="0"/>
    <n v="2"/>
    <n v="150"/>
    <n v="300"/>
    <n v="507.79000000000008"/>
  </r>
  <r>
    <d v="2024-06-13T00:00:00"/>
    <x v="5"/>
    <x v="4"/>
    <m/>
    <m/>
    <s v="RESTAURANTS"/>
    <m/>
    <n v="129.6"/>
    <n v="148.58000000000001"/>
    <n v="0"/>
    <n v="0"/>
    <n v="2"/>
    <n v="5"/>
    <n v="0"/>
    <n v="0"/>
    <n v="10"/>
    <n v="22.92"/>
    <n v="10.31"/>
    <n v="0"/>
    <n v="0"/>
    <n v="0"/>
    <n v="0"/>
    <n v="2"/>
    <n v="150"/>
    <n v="300"/>
    <n v="570.79"/>
  </r>
  <r>
    <d v="2024-06-18T00:00:00"/>
    <x v="5"/>
    <x v="4"/>
    <m/>
    <m/>
    <s v="RESTAURANTS"/>
    <m/>
    <n v="129.6"/>
    <n v="148.58000000000001"/>
    <n v="0"/>
    <n v="0"/>
    <n v="3"/>
    <n v="5.5"/>
    <n v="0"/>
    <n v="0"/>
    <n v="16.5"/>
    <n v="22.92"/>
    <n v="10.31"/>
    <n v="0"/>
    <n v="0"/>
    <n v="0"/>
    <n v="0"/>
    <n v="2"/>
    <n v="150"/>
    <n v="300"/>
    <n v="687.79"/>
  </r>
  <r>
    <d v="2024-06-20T00:00:00"/>
    <x v="5"/>
    <x v="4"/>
    <m/>
    <m/>
    <s v="RESTAURANTS"/>
    <m/>
    <n v="129.6"/>
    <n v="148.58000000000001"/>
    <n v="0"/>
    <n v="0"/>
    <n v="3"/>
    <n v="4"/>
    <n v="0"/>
    <n v="0"/>
    <n v="12"/>
    <n v="22.92"/>
    <n v="10.31"/>
    <n v="0"/>
    <n v="0"/>
    <n v="0"/>
    <n v="0"/>
    <n v="2"/>
    <n v="150"/>
    <n v="300"/>
    <n v="606.79"/>
  </r>
  <r>
    <d v="2024-06-26T00:00:00"/>
    <x v="5"/>
    <x v="4"/>
    <m/>
    <m/>
    <s v="RESTAURANTS"/>
    <m/>
    <n v="129.6"/>
    <n v="148.58000000000001"/>
    <n v="0"/>
    <n v="0"/>
    <n v="2"/>
    <n v="4.5"/>
    <n v="0"/>
    <n v="0"/>
    <n v="9"/>
    <n v="22.92"/>
    <n v="10.31"/>
    <n v="0"/>
    <n v="0"/>
    <n v="0"/>
    <n v="0"/>
    <n v="2"/>
    <n v="150"/>
    <n v="300"/>
    <n v="552.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d v="2024-01-04T00:00:00"/>
    <x v="0"/>
    <x v="0"/>
    <x v="0"/>
    <x v="0"/>
    <x v="0"/>
    <s v="C - ANA i JOSEP M x 60 (JONA)"/>
    <n v="150.53160417380218"/>
    <n v="166.61611410472486"/>
    <n v="120.11763353420123"/>
    <n v="0"/>
    <n v="4"/>
    <n v="17.72"/>
    <n v="4"/>
    <n v="0"/>
    <n v="70.88"/>
    <n v="0"/>
    <n v="35.83"/>
    <n v="0"/>
    <n v="96"/>
    <n v="1"/>
    <n v="96"/>
    <n v="4"/>
    <n v="96"/>
    <n v="480"/>
    <n v="1875.9433518127282"/>
    <n v="12342"/>
    <n v="2.7902213390213877E-2"/>
  </r>
  <r>
    <d v="2024-01-07T00:00:00"/>
    <x v="0"/>
    <x v="1"/>
    <x v="0"/>
    <x v="1"/>
    <x v="1"/>
    <s v="E - Grifols dinar X 39 cristina"/>
    <n v="53.287358502296357"/>
    <n v="58.981186397953564"/>
    <n v="42.520980465963795"/>
    <n v="0"/>
    <n v="1"/>
    <n v="12.75"/>
    <n v="0"/>
    <n v="0"/>
    <n v="12.75"/>
    <n v="0"/>
    <n v="35.83"/>
    <n v="0"/>
    <n v="96"/>
    <n v="1"/>
    <n v="96"/>
    <n v="1"/>
    <n v="96"/>
    <n v="192"/>
    <n v="470.92272536621368"/>
    <n v="4369"/>
    <n v="9.8772298089324605E-3"/>
  </r>
  <r>
    <d v="2024-01-08T00:00:00"/>
    <x v="0"/>
    <x v="1"/>
    <x v="0"/>
    <x v="2"/>
    <x v="2"/>
    <s v="E-AMEX coffee 250-laia"/>
    <n v="55.351039220673236"/>
    <n v="61.265374252962438"/>
    <n v="44.167707381697618"/>
    <n v="0"/>
    <n v="1"/>
    <n v="13.8"/>
    <n v="0"/>
    <n v="0"/>
    <n v="13.8"/>
    <n v="0"/>
    <n v="35.83"/>
    <n v="0"/>
    <n v="112"/>
    <n v="1"/>
    <n v="112"/>
    <n v="1"/>
    <n v="112"/>
    <n v="224"/>
    <n v="504.28452085533326"/>
    <n v="4538.2"/>
    <n v="1.0259749214670931E-2"/>
  </r>
  <r>
    <d v="2024-01-09T00:00:00"/>
    <x v="0"/>
    <x v="1"/>
    <x v="0"/>
    <x v="2"/>
    <x v="2"/>
    <s v="E-AMEX coffee 250&amp;140-laia"/>
    <n v="56.104794944052024"/>
    <n v="62.099669817025962"/>
    <n v="44.769171467940829"/>
    <n v="0"/>
    <n v="1"/>
    <n v="12.3"/>
    <n v="0"/>
    <n v="0"/>
    <n v="12.3"/>
    <n v="0"/>
    <n v="35.83"/>
    <n v="0"/>
    <n v="112"/>
    <n v="1"/>
    <n v="112"/>
    <n v="1"/>
    <n v="112"/>
    <n v="224"/>
    <n v="479.47403622901885"/>
    <n v="4600"/>
    <n v="1.039946374939101E-2"/>
  </r>
  <r>
    <d v="2024-01-09T00:00:00"/>
    <x v="0"/>
    <x v="1"/>
    <x v="0"/>
    <x v="1"/>
    <x v="3"/>
    <s v="E - Envy"/>
    <n v="103.67190370096569"/>
    <n v="114.74938987928709"/>
    <n v="82.725642929890654"/>
    <n v="0"/>
    <n v="1"/>
    <n v="10"/>
    <n v="2"/>
    <n v="3"/>
    <n v="16"/>
    <n v="0"/>
    <n v="35.83"/>
    <n v="1"/>
    <n v="20"/>
    <n v="1"/>
    <n v="20"/>
    <n v="0"/>
    <n v="20"/>
    <n v="40"/>
    <n v="635.56093651014351"/>
    <n v="8500"/>
    <n v="1.9216400406483387E-2"/>
  </r>
  <r>
    <d v="2024-01-11T00:00:00"/>
    <x v="0"/>
    <x v="1"/>
    <x v="0"/>
    <x v="3"/>
    <x v="4"/>
    <s v="E - ThevenueAgency 300 cristina"/>
    <n v="473.6952230515418"/>
    <n v="524.31021225079439"/>
    <n v="377.98806118954042"/>
    <n v="0"/>
    <n v="3"/>
    <n v="13"/>
    <n v="3"/>
    <n v="5"/>
    <n v="54"/>
    <n v="0"/>
    <n v="35.83"/>
    <n v="2"/>
    <n v="20"/>
    <n v="8"/>
    <n v="20"/>
    <n v="6"/>
    <n v="20"/>
    <n v="320"/>
    <n v="2468.4954964918766"/>
    <n v="38838"/>
    <n v="8.7803124586706097E-2"/>
  </r>
  <r>
    <d v="2024-01-11T00:00:00"/>
    <x v="0"/>
    <x v="1"/>
    <x v="0"/>
    <x v="1"/>
    <x v="5"/>
    <s v="E- BCDME cena x 270 MM"/>
    <n v="269.76649012446575"/>
    <n v="298.59141239412611"/>
    <n v="215.26185533215548"/>
    <n v="0"/>
    <n v="4"/>
    <n v="13.5"/>
    <n v="1"/>
    <n v="4"/>
    <n v="58"/>
    <n v="0"/>
    <n v="35.83"/>
    <n v="0"/>
    <n v="120"/>
    <n v="2"/>
    <n v="120"/>
    <n v="4"/>
    <n v="120"/>
    <n v="720"/>
    <n v="2053.9617578507473"/>
    <n v="22118"/>
    <n v="5.000333461065877E-2"/>
  </r>
  <r>
    <d v="2024-01-13T00:00:00"/>
    <x v="0"/>
    <x v="1"/>
    <x v="0"/>
    <x v="3"/>
    <x v="6"/>
    <s v="E- Sibaris Catering coctelx108 MM"/>
    <n v="147.22629994992434"/>
    <n v="162.95763355680879"/>
    <n v="117.48014538902473"/>
    <n v="0"/>
    <n v="2"/>
    <n v="13"/>
    <n v="0"/>
    <n v="0"/>
    <n v="26"/>
    <n v="0"/>
    <n v="35.83"/>
    <n v="0"/>
    <n v="132"/>
    <n v="1"/>
    <n v="132"/>
    <n v="1"/>
    <n v="132"/>
    <n v="264"/>
    <n v="1001.3484788957579"/>
    <n v="12071"/>
    <n v="2.7289549330195409E-2"/>
  </r>
  <r>
    <d v="2024-01-14T00:00:00"/>
    <x v="0"/>
    <x v="1"/>
    <x v="0"/>
    <x v="4"/>
    <x v="7"/>
    <s v="P - NATALIE x 50 afv"/>
    <n v="25.856992452476149"/>
    <n v="28.619847828716313"/>
    <n v="20.632748589572728"/>
    <n v="0"/>
    <n v="1"/>
    <n v="10.9"/>
    <n v="0"/>
    <n v="0"/>
    <n v="10.9"/>
    <n v="0"/>
    <n v="35.83"/>
    <n v="0"/>
    <n v="88"/>
    <n v="1"/>
    <n v="88"/>
    <n v="1"/>
    <n v="88"/>
    <n v="176"/>
    <n v="353.70918887076522"/>
    <n v="2120"/>
    <n v="4.7927963366758567E-3"/>
  </r>
  <r>
    <d v="2024-01-16T00:00:00"/>
    <x v="0"/>
    <x v="1"/>
    <x v="0"/>
    <x v="3"/>
    <x v="8"/>
    <s v="E-HB sopar CCTEL 300-laia"/>
    <n v="259.15536586330813"/>
    <n v="286.8464748417756"/>
    <n v="206.79464246756669"/>
    <n v="0"/>
    <n v="2"/>
    <n v="12"/>
    <n v="0"/>
    <n v="0"/>
    <n v="24"/>
    <n v="0"/>
    <n v="35.83"/>
    <n v="0"/>
    <n v="120"/>
    <n v="2"/>
    <n v="120"/>
    <n v="2"/>
    <n v="120"/>
    <n v="480"/>
    <n v="1347.6344831726503"/>
    <n v="21248"/>
    <n v="4.8036479510230476E-2"/>
  </r>
  <r>
    <d v="2024-01-19T00:00:00"/>
    <x v="0"/>
    <x v="1"/>
    <x v="0"/>
    <x v="3"/>
    <x v="9"/>
    <s v="E- LAPICA sopar cctel 270-laia"/>
    <n v="199.59890636074155"/>
    <n v="220.92632533818039"/>
    <n v="159.27119371148947"/>
    <n v="0"/>
    <n v="2"/>
    <n v="11.5"/>
    <n v="4"/>
    <n v="0"/>
    <n v="23"/>
    <n v="0"/>
    <n v="35.83"/>
    <n v="0"/>
    <n v="123"/>
    <n v="1"/>
    <n v="123"/>
    <n v="2"/>
    <n v="123"/>
    <n v="369"/>
    <n v="1127.2638254104113"/>
    <n v="16365"/>
    <n v="3.6997222664953013E-2"/>
  </r>
  <r>
    <d v="2024-01-22T00:00:00"/>
    <x v="0"/>
    <x v="1"/>
    <x v="0"/>
    <x v="3"/>
    <x v="10"/>
    <s v="E-EXOTICA COCKTAIL LUNCH 75 PAX AFV "/>
    <n v="63.361828203119614"/>
    <n v="70.132127108576057"/>
    <n v="50.559966473033171"/>
    <n v="0"/>
    <n v="1"/>
    <n v="10.3"/>
    <n v="0"/>
    <n v="0"/>
    <n v="10.3"/>
    <n v="0"/>
    <n v="35.83"/>
    <n v="0"/>
    <n v="122"/>
    <n v="1"/>
    <n v="122"/>
    <n v="1"/>
    <n v="122"/>
    <n v="244"/>
    <n v="469.84632178472884"/>
    <n v="5195"/>
    <n v="1.1744611777844846E-2"/>
  </r>
  <r>
    <d v="2024-01-22T00:00:00"/>
    <x v="0"/>
    <x v="1"/>
    <x v="0"/>
    <x v="1"/>
    <x v="1"/>
    <s v="E - Grifols sopar 14 cristina"/>
    <n v="22.807818814212453"/>
    <n v="25.244865773443163"/>
    <n v="18.199641444575946"/>
    <n v="0"/>
    <n v="0"/>
    <n v="0"/>
    <n v="0"/>
    <n v="0"/>
    <n v="0"/>
    <n v="0"/>
    <n v="35.83"/>
    <n v="0"/>
    <n v="96"/>
    <n v="1"/>
    <n v="96"/>
    <n v="0"/>
    <n v="96"/>
    <n v="96"/>
    <n v="127.48392603223157"/>
    <n v="1870"/>
    <n v="4.2276080894263456E-3"/>
  </r>
  <r>
    <d v="2024-01-23T00:00:00"/>
    <x v="0"/>
    <x v="1"/>
    <x v="1"/>
    <x v="5"/>
    <x v="11"/>
    <s v="E High Fidelity ccurs 55 MG"/>
    <n v="41.078467254688519"/>
    <n v="45.467758248639875"/>
    <n v="32.778819457396672"/>
    <n v="0"/>
    <n v="0"/>
    <n v="0"/>
    <n v="1"/>
    <n v="3"/>
    <n v="3"/>
    <n v="0"/>
    <n v="35.83"/>
    <n v="0"/>
    <n v="104"/>
    <n v="1"/>
    <n v="104"/>
    <n v="1"/>
    <n v="104"/>
    <n v="208"/>
    <n v="264.19184496072506"/>
    <n v="3368"/>
    <n v="7.6142160669454171E-3"/>
  </r>
  <r>
    <d v="2024-01-23T00:00:00"/>
    <x v="0"/>
    <x v="1"/>
    <x v="0"/>
    <x v="3"/>
    <x v="12"/>
    <s v="E- Solsona Comunicació x 200MM"/>
    <n v="236.85980822032394"/>
    <n v="262.1686060536183"/>
    <n v="189.00376302335016"/>
    <n v="0"/>
    <n v="2"/>
    <n v="12.75"/>
    <n v="0"/>
    <n v="0"/>
    <n v="25.5"/>
    <n v="0"/>
    <n v="35.83"/>
    <n v="0"/>
    <n v="116"/>
    <n v="1"/>
    <n v="116"/>
    <n v="2"/>
    <n v="116"/>
    <n v="348"/>
    <n v="1274.9429772972921"/>
    <n v="19420"/>
    <n v="4.3903823046342043E-2"/>
  </r>
  <r>
    <d v="2024-01-24T00:00:00"/>
    <x v="0"/>
    <x v="1"/>
    <x v="0"/>
    <x v="1"/>
    <x v="3"/>
    <s v="E Graphic PKG 150 MG"/>
    <n v="170.2414625715387"/>
    <n v="188.43199811001051"/>
    <n v="135.84523811946045"/>
    <n v="0"/>
    <n v="2"/>
    <n v="8.75"/>
    <n v="2"/>
    <n v="4"/>
    <n v="25.5"/>
    <n v="0"/>
    <n v="35.83"/>
    <n v="0"/>
    <n v="20"/>
    <n v="1"/>
    <n v="20"/>
    <n v="1"/>
    <n v="20"/>
    <n v="40"/>
    <n v="999.93269880100968"/>
    <n v="13958"/>
    <n v="3.1555590220434721E-2"/>
  </r>
  <r>
    <d v="2024-01-24T00:00:00"/>
    <x v="0"/>
    <x v="1"/>
    <x v="1"/>
    <x v="1"/>
    <x v="11"/>
    <s v="E IaG7 Mice 90 pax MG"/>
    <n v="108.27005754746733"/>
    <n v="119.838862818639"/>
    <n v="86.394768504545809"/>
    <n v="0"/>
    <n v="0"/>
    <n v="0"/>
    <n v="1"/>
    <n v="3"/>
    <n v="3"/>
    <n v="0"/>
    <n v="35.83"/>
    <n v="0"/>
    <n v="104"/>
    <n v="1"/>
    <n v="104"/>
    <n v="1"/>
    <n v="104"/>
    <n v="208"/>
    <n v="459.37048887065214"/>
    <n v="8877"/>
    <n v="2.006870428333565E-2"/>
  </r>
  <r>
    <d v="2024-01-24T00:00:00"/>
    <x v="0"/>
    <x v="1"/>
    <x v="1"/>
    <x v="6"/>
    <x v="13"/>
    <s v="E-PANGEA DINNER 120 PAX afv / E-ONE EVENT GALA DINNER 165 PAX AFV"/>
    <n v="271.41304388912818"/>
    <n v="300.41390270397363"/>
    <n v="216.57573319045375"/>
    <n v="0"/>
    <n v="3"/>
    <n v="10.3"/>
    <n v="0"/>
    <n v="0"/>
    <n v="30.900000000000002"/>
    <n v="0"/>
    <n v="35.83"/>
    <n v="0"/>
    <n v="80"/>
    <n v="1"/>
    <n v="80"/>
    <n v="2"/>
    <n v="80"/>
    <n v="240"/>
    <n v="1443.9366797835555"/>
    <n v="22253"/>
    <n v="5.030853626417351E-2"/>
  </r>
  <r>
    <d v="2024-01-25T00:00:00"/>
    <x v="0"/>
    <x v="1"/>
    <x v="0"/>
    <x v="2"/>
    <x v="14"/>
    <s v="E - CreativeSpirits coffee MWC 100 cristina"/>
    <n v="36.492510102739921"/>
    <n v="40.391785237509055"/>
    <n v="29.119426311321508"/>
    <n v="0"/>
    <n v="1"/>
    <n v="9.9499999999999993"/>
    <n v="0"/>
    <n v="0"/>
    <n v="9.9499999999999993"/>
    <n v="0"/>
    <n v="35.83"/>
    <n v="0"/>
    <n v="120"/>
    <n v="1"/>
    <n v="120"/>
    <n v="1"/>
    <n v="120"/>
    <n v="240"/>
    <n v="384.43772165157043"/>
    <n v="2992"/>
    <n v="6.764172943082152E-3"/>
  </r>
  <r>
    <d v="2024-01-25T00:00:00"/>
    <x v="0"/>
    <x v="1"/>
    <x v="0"/>
    <x v="6"/>
    <x v="15"/>
    <s v="E - Solsona com X 200 dinar MM"/>
    <n v="162.21603755562865"/>
    <n v="179.54904534053156"/>
    <n v="129.4413001138289"/>
    <n v="0"/>
    <n v="2"/>
    <n v="11.1"/>
    <n v="2"/>
    <n v="5.25"/>
    <n v="32.700000000000003"/>
    <n v="0"/>
    <n v="35.83"/>
    <n v="1"/>
    <n v="118"/>
    <n v="1"/>
    <n v="118"/>
    <n v="1"/>
    <n v="118"/>
    <n v="354"/>
    <n v="1189.304783009989"/>
    <n v="13300"/>
    <n v="3.0068014753674006E-2"/>
  </r>
  <r>
    <d v="2024-01-26T00:00:00"/>
    <x v="0"/>
    <x v="1"/>
    <x v="0"/>
    <x v="3"/>
    <x v="16"/>
    <s v="E -euromotivation 30 gala-laia "/>
    <n v="47.054847585685366"/>
    <n v="52.082723076975256"/>
    <n v="37.547709461590372"/>
    <n v="0"/>
    <n v="1"/>
    <n v="13.35"/>
    <n v="0"/>
    <n v="0"/>
    <n v="13.35"/>
    <n v="0"/>
    <n v="35.83"/>
    <n v="0"/>
    <n v="112"/>
    <n v="1"/>
    <n v="112"/>
    <n v="1"/>
    <n v="112"/>
    <n v="224"/>
    <n v="472.08568012425098"/>
    <n v="3858"/>
    <n v="8.7219850315544602E-3"/>
  </r>
  <r>
    <d v="2024-01-26T00:00:00"/>
    <x v="0"/>
    <x v="1"/>
    <x v="1"/>
    <x v="5"/>
    <x v="11"/>
    <s v="E - One event ccurs 140 MG"/>
    <n v="143.77463539140982"/>
    <n v="159.13715387023956"/>
    <n v="114.72586810088836"/>
    <n v="0"/>
    <n v="0"/>
    <n v="0"/>
    <n v="1"/>
    <n v="3"/>
    <n v="3"/>
    <n v="0"/>
    <n v="35.83"/>
    <n v="0"/>
    <n v="104"/>
    <n v="1"/>
    <n v="104"/>
    <n v="1"/>
    <n v="104"/>
    <n v="208"/>
    <n v="562.50445736253778"/>
    <n v="11788"/>
    <n v="2.6649756234308961E-2"/>
  </r>
  <r>
    <d v="2024-01-26T00:00:00"/>
    <x v="0"/>
    <x v="1"/>
    <x v="0"/>
    <x v="7"/>
    <x v="17"/>
    <s v="E- EL TELER calçotada x 150 MM"/>
    <n v="44.408164867672475"/>
    <n v="49.153238652998155"/>
    <n v="35.435772459733165"/>
    <n v="0"/>
    <n v="0"/>
    <n v="0"/>
    <n v="1"/>
    <n v="2"/>
    <n v="2"/>
    <n v="0"/>
    <n v="35.83"/>
    <n v="0"/>
    <n v="26"/>
    <n v="1"/>
    <n v="26"/>
    <n v="1"/>
    <n v="26"/>
    <n v="52"/>
    <n v="214.58637598040377"/>
    <n v="3641"/>
    <n v="8.231401632941884E-3"/>
  </r>
  <r>
    <d v="2024-01-26T00:00:00"/>
    <x v="0"/>
    <x v="1"/>
    <x v="0"/>
    <x v="3"/>
    <x v="16"/>
    <s v="E-VAUS ESTUDIO COCTEL LUNCH 190PAX AFV "/>
    <n v="190.26843502765468"/>
    <n v="210.59888024904456"/>
    <n v="151.82588584779933"/>
    <n v="0"/>
    <n v="2"/>
    <n v="13.4"/>
    <n v="0"/>
    <n v="0"/>
    <n v="26.8"/>
    <n v="0"/>
    <n v="35.83"/>
    <n v="0"/>
    <n v="112"/>
    <n v="1"/>
    <n v="112"/>
    <n v="2"/>
    <n v="112"/>
    <n v="336"/>
    <n v="1159.8288011244986"/>
    <n v="15600"/>
    <n v="3.5267746628369512E-2"/>
  </r>
  <r>
    <d v="2024-01-27T00:00:00"/>
    <x v="0"/>
    <x v="1"/>
    <x v="0"/>
    <x v="3"/>
    <x v="16"/>
    <s v="E-FRIMM coffee o cctel 100-laia"/>
    <n v="82.266704760354543"/>
    <n v="91.057015851269597"/>
    <n v="65.645230772013235"/>
    <n v="0"/>
    <n v="1"/>
    <n v="10.85"/>
    <n v="0"/>
    <n v="0"/>
    <n v="10.85"/>
    <n v="0"/>
    <n v="35.83"/>
    <n v="0"/>
    <n v="112"/>
    <n v="1"/>
    <n v="112"/>
    <n v="1"/>
    <n v="112"/>
    <n v="224"/>
    <n v="529.36935138363731"/>
    <n v="6745"/>
    <n v="1.5248778910791818E-2"/>
  </r>
  <r>
    <d v="2024-01-27T00:00:00"/>
    <x v="0"/>
    <x v="1"/>
    <x v="1"/>
    <x v="3"/>
    <x v="11"/>
    <s v="E Aggtelek cctel 250 MG"/>
    <n v="220.69918793752637"/>
    <n v="244.28120116067061"/>
    <n v="176.10829515486722"/>
    <n v="0"/>
    <n v="0"/>
    <n v="0"/>
    <n v="1"/>
    <n v="3"/>
    <n v="3"/>
    <n v="0"/>
    <n v="35.83"/>
    <n v="0"/>
    <n v="104"/>
    <n v="1"/>
    <n v="104"/>
    <n v="1"/>
    <n v="104"/>
    <n v="208"/>
    <n v="785.95548425306413"/>
    <n v="18095"/>
    <n v="4.0908325335919635E-2"/>
  </r>
  <r>
    <d v="2024-01-27T00:00:00"/>
    <x v="0"/>
    <x v="1"/>
    <x v="0"/>
    <x v="4"/>
    <x v="7"/>
    <s v="P - NATALIE x 50 afv"/>
    <n v="25.856992452476149"/>
    <n v="28.619847828716313"/>
    <n v="20.632748589572728"/>
    <n v="0"/>
    <n v="1"/>
    <n v="10.75"/>
    <n v="0"/>
    <n v="0"/>
    <n v="10.75"/>
    <n v="0"/>
    <n v="35.83"/>
    <n v="0"/>
    <n v="88"/>
    <n v="1"/>
    <n v="88"/>
    <n v="1"/>
    <n v="88"/>
    <n v="176"/>
    <n v="351.00918887076517"/>
    <n v="2120"/>
    <n v="4.7927963366758567E-3"/>
  </r>
  <r>
    <d v="2024-01-29T00:00:00"/>
    <x v="0"/>
    <x v="1"/>
    <x v="0"/>
    <x v="6"/>
    <x v="18"/>
    <s v="E- CSM LOTUS 250 AFV "/>
    <n v="344.87373518217714"/>
    <n v="381.72397037961434"/>
    <n v="275.19415052771626"/>
    <n v="0"/>
    <n v="4"/>
    <n v="17"/>
    <n v="0"/>
    <n v="0"/>
    <n v="68"/>
    <n v="0"/>
    <n v="35.83"/>
    <n v="0"/>
    <n v="84"/>
    <n v="1"/>
    <n v="84"/>
    <n v="4"/>
    <n v="84"/>
    <n v="420"/>
    <n v="2372.7538560895077"/>
    <n v="28276"/>
    <n v="6.3925051516908735E-2"/>
  </r>
  <r>
    <d v="2024-01-29T00:00:00"/>
    <x v="0"/>
    <x v="1"/>
    <x v="0"/>
    <x v="3"/>
    <x v="19"/>
    <s v="E-MICE AND TRAIN PAX A CONF AFV "/>
    <n v="0"/>
    <n v="0"/>
    <n v="0"/>
    <n v="0"/>
    <n v="1"/>
    <n v="8.3000000000000007"/>
    <n v="0"/>
    <n v="0"/>
    <n v="8.3000000000000007"/>
    <n v="0"/>
    <n v="35.83"/>
    <n v="0"/>
    <n v="0"/>
    <n v="1"/>
    <n v="130"/>
    <n v="1"/>
    <n v="130"/>
    <n v="260"/>
    <n v="254.02600000000001"/>
    <n v="0"/>
    <n v="0"/>
  </r>
  <r>
    <d v="2024-01-30T00:00:00"/>
    <x v="0"/>
    <x v="1"/>
    <x v="0"/>
    <x v="1"/>
    <x v="20"/>
    <s v="E-Clementina 80 coffee+dinar cristina"/>
    <n v="76.497668236759623"/>
    <n v="84.67154980269278"/>
    <n v="61.041792053679316"/>
    <n v="0"/>
    <n v="1"/>
    <n v="9.5"/>
    <n v="0"/>
    <n v="0"/>
    <n v="9.5"/>
    <n v="0"/>
    <n v="35.83"/>
    <n v="0"/>
    <n v="0"/>
    <n v="1"/>
    <n v="110"/>
    <n v="1"/>
    <n v="110"/>
    <n v="220"/>
    <n v="487.25301009313171"/>
    <n v="6272"/>
    <n v="1.4179442746995742E-2"/>
  </r>
  <r>
    <d v="2024-01-31T00:00:00"/>
    <x v="0"/>
    <x v="1"/>
    <x v="1"/>
    <x v="3"/>
    <x v="13"/>
    <s v="E- CSM LOTUS 250 AFV "/>
    <n v="300.96563479117992"/>
    <n v="333.12422878368096"/>
    <n v="240.15740763976257"/>
    <n v="0"/>
    <n v="3"/>
    <n v="11.25"/>
    <n v="0"/>
    <n v="0"/>
    <n v="33.75"/>
    <n v="0"/>
    <n v="35.83"/>
    <n v="0"/>
    <n v="80"/>
    <n v="1"/>
    <n v="80"/>
    <n v="2"/>
    <n v="80"/>
    <n v="240"/>
    <n v="1581.0812712146235"/>
    <n v="24676"/>
    <n v="5.578634075651577E-2"/>
  </r>
  <r>
    <d v="2024-01-31T00:00:00"/>
    <x v="0"/>
    <x v="1"/>
    <x v="0"/>
    <x v="3"/>
    <x v="21"/>
    <s v="E-acquera 80 cctel-laia"/>
    <n v="70.350534182020013"/>
    <n v="77.867585979262117"/>
    <n v="56.136648049365803"/>
    <n v="0"/>
    <n v="1"/>
    <n v="8"/>
    <n v="0"/>
    <n v="0"/>
    <n v="8"/>
    <n v="0"/>
    <n v="35.83"/>
    <n v="0"/>
    <n v="130"/>
    <n v="1"/>
    <n v="130"/>
    <n v="1"/>
    <n v="130"/>
    <n v="260"/>
    <n v="452.98076821064791"/>
    <n v="5768"/>
    <n v="1.3040023240540728E-2"/>
  </r>
  <r>
    <d v="2024-01-31T00:00:00"/>
    <x v="0"/>
    <x v="1"/>
    <x v="0"/>
    <x v="1"/>
    <x v="22"/>
    <s v="E - Formua GT coffee+Lunch 50 cristina"/>
    <n v="110.53864273433554"/>
    <n v="122.34984946776224"/>
    <n v="88.205000220423415"/>
    <n v="0"/>
    <n v="1"/>
    <n v="14.25"/>
    <n v="2"/>
    <n v="5.75"/>
    <n v="25.75"/>
    <n v="0"/>
    <n v="35.83"/>
    <n v="0"/>
    <n v="150"/>
    <n v="1"/>
    <n v="150"/>
    <n v="1"/>
    <n v="150"/>
    <n v="300"/>
    <n v="899.80349242252134"/>
    <n v="9063"/>
    <n v="2.0489204339289288E-2"/>
  </r>
  <r>
    <d v="2024-01-31T00:00:00"/>
    <x v="0"/>
    <x v="1"/>
    <x v="0"/>
    <x v="1"/>
    <x v="23"/>
    <s v="E- Dfactory dinar singapur x 15 MM"/>
    <n v="16.030115651079907"/>
    <n v="17.742955660982005"/>
    <n v="12.791330882677093"/>
    <n v="0"/>
    <n v="0"/>
    <n v="0"/>
    <n v="0"/>
    <n v="0"/>
    <n v="0"/>
    <n v="0"/>
    <n v="35.83"/>
    <n v="0"/>
    <n v="140"/>
    <n v="1"/>
    <n v="140"/>
    <n v="0"/>
    <n v="140"/>
    <n v="140"/>
    <n v="119.438402194739"/>
    <n v="1314.3"/>
    <n v="2.9713076534401313E-3"/>
  </r>
  <r>
    <d v="2024-01-31T00:00:00"/>
    <x v="0"/>
    <x v="1"/>
    <x v="0"/>
    <x v="1"/>
    <x v="24"/>
    <s v="E- Pericas x 40MM"/>
    <n v="33.175009184309019"/>
    <n v="36.719804761371876"/>
    <n v="26.472205737565009"/>
    <n v="0"/>
    <n v="0"/>
    <n v="0"/>
    <n v="1"/>
    <n v="2"/>
    <n v="2"/>
    <n v="0"/>
    <n v="35.83"/>
    <n v="0"/>
    <n v="20"/>
    <n v="1"/>
    <n v="20"/>
    <n v="0"/>
    <n v="20"/>
    <n v="20"/>
    <n v="173.48901968324589"/>
    <n v="2720"/>
    <n v="6.1492481300746841E-3"/>
  </r>
  <r>
    <d v="2024-01-31T00:00:00"/>
    <x v="0"/>
    <x v="1"/>
    <x v="0"/>
    <x v="2"/>
    <x v="25"/>
    <s v="E-VOLVO CARS 40 pax afv"/>
    <n v="556.65713940142041"/>
    <n v="616.13672401066628"/>
    <n v="444.18804039061291"/>
    <n v="0"/>
    <n v="0"/>
    <n v="0"/>
    <n v="6"/>
    <n v="3"/>
    <n v="18"/>
    <n v="0"/>
    <n v="35.83"/>
    <n v="0"/>
    <n v="42"/>
    <n v="11"/>
    <n v="42"/>
    <n v="6"/>
    <n v="42"/>
    <n v="714"/>
    <n v="2165.7363038026992"/>
    <n v="45640"/>
    <n v="0.1031807664178708"/>
  </r>
  <r>
    <d v="2024-01-31T00:00:00"/>
    <x v="0"/>
    <x v="1"/>
    <x v="1"/>
    <x v="2"/>
    <x v="26"/>
    <s v="E-VOLVO CARS 40 pax afv"/>
    <n v="224.56554011084475"/>
    <n v="248.56067840675698"/>
    <n v="179.19347501472316"/>
    <n v="0"/>
    <n v="0"/>
    <n v="0"/>
    <n v="6"/>
    <n v="3"/>
    <n v="18"/>
    <n v="0"/>
    <n v="35.83"/>
    <n v="0"/>
    <n v="42"/>
    <n v="0"/>
    <n v="42"/>
    <n v="6"/>
    <n v="42"/>
    <n v="252"/>
    <n v="1078.8288935323249"/>
    <n v="18412"/>
    <n v="4.1624984033432018E-2"/>
  </r>
  <r>
    <d v="2024-01-31T00:00:00"/>
    <x v="0"/>
    <x v="2"/>
    <x v="2"/>
    <x v="8"/>
    <x v="2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</r>
  <r>
    <d v="2024-01-02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208"/>
    <n v="416"/>
    <n v="263.29360000000003"/>
    <m/>
    <s v=""/>
  </r>
  <r>
    <d v="2024-01-03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04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05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08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09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10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11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12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13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15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17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18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19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20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22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24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25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26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27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29T00:00:00"/>
    <x v="0"/>
    <x v="3"/>
    <x v="2"/>
    <x v="8"/>
    <x v="28"/>
    <m/>
    <n v="0"/>
    <n v="0"/>
    <n v="0"/>
    <n v="0"/>
    <n v="2"/>
    <n v="4"/>
    <n v="0"/>
    <n v="0"/>
    <n v="8"/>
    <n v="0"/>
    <n v="9.2200000000000006"/>
    <n v="0"/>
    <n v="0"/>
    <n v="0"/>
    <n v="0"/>
    <n v="2"/>
    <n v="104"/>
    <n v="208"/>
    <n v="208.2568"/>
    <m/>
    <s v=""/>
  </r>
  <r>
    <d v="2024-01-31T00:00:00"/>
    <x v="0"/>
    <x v="3"/>
    <x v="2"/>
    <x v="8"/>
    <x v="28"/>
    <m/>
    <n v="0"/>
    <n v="0"/>
    <n v="0"/>
    <n v="0"/>
    <n v="1"/>
    <n v="4"/>
    <n v="0"/>
    <n v="0"/>
    <n v="4"/>
    <n v="0"/>
    <n v="9.2200000000000006"/>
    <n v="0"/>
    <n v="0"/>
    <n v="0"/>
    <n v="0"/>
    <n v="1"/>
    <n v="104"/>
    <n v="104"/>
    <n v="108.7384"/>
    <m/>
    <s v=""/>
  </r>
  <r>
    <d v="2024-01-02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04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09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11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16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18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23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25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1-30T00:00:00"/>
    <x v="0"/>
    <x v="4"/>
    <x v="2"/>
    <x v="8"/>
    <x v="29"/>
    <m/>
    <n v="66.61"/>
    <n v="73.72"/>
    <n v="0"/>
    <n v="0"/>
    <n v="2"/>
    <n v="5"/>
    <n v="0"/>
    <n v="0"/>
    <n v="10"/>
    <n v="0"/>
    <n v="45.71"/>
    <n v="0"/>
    <n v="0"/>
    <n v="0"/>
    <n v="0"/>
    <n v="2"/>
    <n v="150"/>
    <n v="300"/>
    <n v="445.42"/>
    <m/>
    <s v=""/>
  </r>
  <r>
    <d v="2024-02-01T00:00:00"/>
    <x v="1"/>
    <x v="1"/>
    <x v="0"/>
    <x v="1"/>
    <x v="30"/>
    <s v="E-ITB EVENTS GALA DINNER 90 PAX "/>
    <n v="315.64402220697394"/>
    <n v="329.54600212089076"/>
    <n v="245.32745332234586"/>
    <n v="0"/>
    <n v="2"/>
    <n v="11"/>
    <n v="1"/>
    <n v="2"/>
    <n v="24"/>
    <n v="0"/>
    <n v="40.630000000000003"/>
    <n v="0"/>
    <n v="120"/>
    <n v="1"/>
    <n v="120"/>
    <n v="0"/>
    <n v="120"/>
    <n v="120"/>
    <n v="1394.8994776502107"/>
    <n v="17303"/>
    <n v="5.6807698242549796E-2"/>
  </r>
  <r>
    <d v="2024-02-01T00:00:00"/>
    <x v="1"/>
    <x v="1"/>
    <x v="0"/>
    <x v="1"/>
    <x v="22"/>
    <s v="E - Formua GT coffee+Lunch 50 cristina"/>
    <n v="0"/>
    <n v="0"/>
    <n v="0"/>
    <n v="0"/>
    <n v="2"/>
    <n v="12.5"/>
    <n v="0"/>
    <n v="0"/>
    <n v="25"/>
    <n v="0"/>
    <n v="40.630000000000003"/>
    <n v="0"/>
    <n v="150"/>
    <n v="2"/>
    <n v="150"/>
    <n v="1"/>
    <n v="150"/>
    <n v="450"/>
    <n v="609.69999999999993"/>
    <m/>
    <n v="0"/>
  </r>
  <r>
    <d v="2024-02-02T00:00:00"/>
    <x v="1"/>
    <x v="1"/>
    <x v="0"/>
    <x v="3"/>
    <x v="31"/>
    <s v="E-COCKTAIL DINNER 120 PAX AFV "/>
    <n v="56.36826149335662"/>
    <n v="58.850901378579003"/>
    <n v="43.811005650236886"/>
    <n v="0"/>
    <n v="1"/>
    <n v="13.25"/>
    <n v="1"/>
    <n v="4"/>
    <n v="17.25"/>
    <n v="0"/>
    <n v="40.630000000000003"/>
    <n v="0"/>
    <n v="96"/>
    <n v="1"/>
    <n v="96"/>
    <n v="1"/>
    <n v="96"/>
    <n v="192"/>
    <n v="560.96336852217246"/>
    <n v="3090"/>
    <n v="1.0144818099143436E-2"/>
  </r>
  <r>
    <d v="2024-02-03T00:00:00"/>
    <x v="1"/>
    <x v="1"/>
    <x v="1"/>
    <x v="1"/>
    <x v="32"/>
    <s v="E- CNV sopar x 70MM"/>
    <n v="53.376547938369406"/>
    <n v="55.727423117709435"/>
    <n v="41.485761337408775"/>
    <n v="0"/>
    <n v="1"/>
    <n v="8.6"/>
    <n v="0"/>
    <n v="0"/>
    <n v="8.6"/>
    <n v="0"/>
    <n v="40.630000000000003"/>
    <n v="0"/>
    <n v="80"/>
    <n v="1"/>
    <n v="80"/>
    <n v="0"/>
    <n v="80"/>
    <n v="80"/>
    <n v="367.18773239348764"/>
    <n v="2926"/>
    <n v="9.6063876239785417E-3"/>
  </r>
  <r>
    <d v="2024-02-04T00:00:00"/>
    <x v="1"/>
    <x v="1"/>
    <x v="0"/>
    <x v="7"/>
    <x v="33"/>
    <s v="E- AT ROCA calçotadax60 MM"/>
    <n v="44.966914103923649"/>
    <n v="46.947401908801695"/>
    <n v="34.949556287324889"/>
    <n v="0"/>
    <n v="1"/>
    <n v="8.6999999999999993"/>
    <n v="0"/>
    <n v="0"/>
    <n v="8.6999999999999993"/>
    <n v="0"/>
    <n v="40.630000000000003"/>
    <n v="0"/>
    <n v="0"/>
    <n v="1"/>
    <n v="30"/>
    <n v="1"/>
    <n v="30"/>
    <n v="60"/>
    <n v="339.96987230005021"/>
    <n v="2465"/>
    <n v="8.0928726907406375E-3"/>
  </r>
  <r>
    <d v="2024-02-05T00:00:00"/>
    <x v="1"/>
    <x v="1"/>
    <x v="0"/>
    <x v="3"/>
    <x v="34"/>
    <s v="E- GBT ref. GRP MERZ - Tour Global Face Rejuvenation x150/200MM"/>
    <n v="131.39824839373713"/>
    <n v="137.1854506892895"/>
    <n v="102.12643161768811"/>
    <n v="0"/>
    <n v="1"/>
    <n v="8.18"/>
    <n v="0"/>
    <n v="0"/>
    <n v="8.18"/>
    <n v="0"/>
    <n v="40.630000000000003"/>
    <n v="0"/>
    <n v="110"/>
    <n v="1"/>
    <n v="110"/>
    <n v="1"/>
    <n v="110"/>
    <n v="220"/>
    <n v="616.79213070071478"/>
    <n v="7203"/>
    <n v="2.3648260442760572E-2"/>
  </r>
  <r>
    <d v="2024-02-05T00:00:00"/>
    <x v="1"/>
    <x v="1"/>
    <x v="0"/>
    <x v="1"/>
    <x v="35"/>
    <s v="E- RiB sopar x 23pax MM"/>
    <n v="45.970232674193745"/>
    <n v="47.994909862142102"/>
    <n v="35.729363831261146"/>
    <n v="0"/>
    <n v="1"/>
    <n v="11.1"/>
    <n v="0"/>
    <n v="0"/>
    <n v="11.1"/>
    <n v="0"/>
    <n v="40.630000000000003"/>
    <n v="0"/>
    <n v="20"/>
    <n v="1"/>
    <n v="20"/>
    <n v="1"/>
    <n v="20"/>
    <n v="40"/>
    <n v="380.70850636759695"/>
    <n v="2520"/>
    <n v="8.2734438866800836E-3"/>
  </r>
  <r>
    <d v="2024-02-06T00:00:00"/>
    <x v="1"/>
    <x v="1"/>
    <x v="0"/>
    <x v="1"/>
    <x v="36"/>
    <s v="E FCB 12 dinar cristina"/>
    <n v="17.439500966876675"/>
    <n v="18.207592788971368"/>
    <n v="13.554472945510181"/>
    <n v="0"/>
    <n v="1"/>
    <n v="8.5500000000000007"/>
    <n v="0"/>
    <n v="0"/>
    <n v="8.5500000000000007"/>
    <n v="0"/>
    <n v="40.630000000000003"/>
    <n v="0"/>
    <n v="110"/>
    <n v="1"/>
    <n v="110"/>
    <n v="1"/>
    <n v="110"/>
    <n v="220"/>
    <n v="301.94356670135824"/>
    <n v="956"/>
    <n v="3.1386556966929205E-3"/>
  </r>
  <r>
    <d v="2024-02-08T00:00:00"/>
    <x v="1"/>
    <x v="1"/>
    <x v="0"/>
    <x v="1"/>
    <x v="37"/>
    <s v="E-J&amp;C comida x 23pax MM"/>
    <n v="30.245494354687789"/>
    <n v="31.577603393425239"/>
    <n v="23.507652869932929"/>
    <n v="0"/>
    <n v="0"/>
    <n v="0"/>
    <n v="0"/>
    <n v="0"/>
    <n v="0"/>
    <n v="0"/>
    <n v="40.630000000000003"/>
    <n v="0"/>
    <n v="25"/>
    <n v="0"/>
    <n v="25"/>
    <n v="1"/>
    <n v="25"/>
    <n v="25"/>
    <n v="132.57575061804596"/>
    <n v="1658"/>
    <n v="5.4434007794109439E-3"/>
  </r>
  <r>
    <d v="2024-02-09T00:00:00"/>
    <x v="1"/>
    <x v="2"/>
    <x v="3"/>
    <x v="9"/>
    <x v="38"/>
    <s v="A - DWT 2ND IMPACT"/>
    <n v="0"/>
    <n v="0"/>
    <n v="0"/>
    <n v="0"/>
    <n v="0"/>
    <n v="0"/>
    <n v="0"/>
    <n v="0"/>
    <n v="0"/>
    <n v="0"/>
    <n v="40.630000000000003"/>
    <n v="0"/>
    <n v="144"/>
    <n v="0"/>
    <n v="144"/>
    <n v="0"/>
    <n v="144"/>
    <n v="0"/>
    <n v="40.630000000000003"/>
    <m/>
    <n v="0"/>
  </r>
  <r>
    <d v="2024-02-10T00:00:00"/>
    <x v="1"/>
    <x v="1"/>
    <x v="1"/>
    <x v="10"/>
    <x v="26"/>
    <s v="E- MONTSE TRES 65 PAX AFV "/>
    <n v="74.427995758218444"/>
    <n v="77.706044538706252"/>
    <n v="57.847541441089469"/>
    <n v="0"/>
    <n v="0"/>
    <n v="0"/>
    <n v="5"/>
    <n v="5"/>
    <n v="25"/>
    <n v="0"/>
    <n v="40.630000000000003"/>
    <n v="1"/>
    <n v="42"/>
    <n v="4"/>
    <n v="42"/>
    <n v="1"/>
    <n v="42"/>
    <n v="252"/>
    <n v="767.29078173801418"/>
    <n v="4080"/>
    <n v="1.3395099626053468E-2"/>
  </r>
  <r>
    <d v="2024-02-12T00:00:00"/>
    <x v="1"/>
    <x v="1"/>
    <x v="0"/>
    <x v="1"/>
    <x v="2"/>
    <s v="E- BIOCAT COFFEE+CAVA 400 LAIA"/>
    <n v="223.1015657164244"/>
    <n v="232.92767762460232"/>
    <n v="173.40084113346182"/>
    <n v="0"/>
    <n v="1"/>
    <n v="10.75"/>
    <n v="0"/>
    <n v="0"/>
    <n v="10.75"/>
    <n v="0"/>
    <n v="40.630000000000003"/>
    <n v="0"/>
    <n v="112"/>
    <n v="1"/>
    <n v="112"/>
    <n v="1"/>
    <n v="112"/>
    <n v="224"/>
    <n v="922.83048447448857"/>
    <n v="12230"/>
    <n v="4.015246775162596E-2"/>
  </r>
  <r>
    <d v="2024-02-13T00:00:00"/>
    <x v="1"/>
    <x v="1"/>
    <x v="0"/>
    <x v="3"/>
    <x v="39"/>
    <s v="E-QUALITY TRAVEL COCKTAIL 180 PAX AFV"/>
    <n v="287.02207972054146"/>
    <n v="299.66345705196181"/>
    <n v="223.08167084169162"/>
    <n v="0"/>
    <n v="2"/>
    <n v="12.98"/>
    <n v="1"/>
    <n v="3"/>
    <n v="28.96"/>
    <n v="0"/>
    <n v="40.630000000000003"/>
    <n v="0"/>
    <n v="144"/>
    <n v="2"/>
    <n v="144"/>
    <n v="1"/>
    <n v="144"/>
    <n v="432"/>
    <n v="1485.9844076141951"/>
    <n v="15734"/>
    <n v="5.1656494489295414E-2"/>
  </r>
  <r>
    <d v="2024-02-14T00:00:00"/>
    <x v="1"/>
    <x v="1"/>
    <x v="0"/>
    <x v="3"/>
    <x v="37"/>
    <s v="E- J&amp;C coctel x 20 MM"/>
    <n v="26.305188696899755"/>
    <n v="27.463753976670201"/>
    <n v="20.445135970110542"/>
    <n v="0"/>
    <n v="0"/>
    <n v="0"/>
    <n v="0"/>
    <n v="0"/>
    <n v="0"/>
    <n v="0"/>
    <n v="40.630000000000003"/>
    <n v="0"/>
    <n v="24"/>
    <n v="1"/>
    <n v="24"/>
    <n v="0"/>
    <n v="24"/>
    <n v="24"/>
    <n v="121.1944786436805"/>
    <n v="1442"/>
    <n v="4.7342484462669365E-3"/>
  </r>
  <r>
    <d v="2024-02-15T00:00:00"/>
    <x v="1"/>
    <x v="1"/>
    <x v="0"/>
    <x v="3"/>
    <x v="40"/>
    <s v="E-Fundacioi2cat 350 cocktail cristina"/>
    <n v="204.54929324433908"/>
    <n v="213.55830328738071"/>
    <n v="158.98149073013144"/>
    <n v="0"/>
    <n v="3"/>
    <n v="13.3"/>
    <n v="0"/>
    <n v="0"/>
    <n v="39.900000000000006"/>
    <n v="0"/>
    <n v="40.630000000000003"/>
    <n v="1"/>
    <n v="140"/>
    <n v="1"/>
    <n v="140"/>
    <n v="1"/>
    <n v="140"/>
    <n v="420"/>
    <n v="1447.0510872618515"/>
    <n v="11213"/>
    <n v="3.681354218307293E-2"/>
  </r>
  <r>
    <d v="2024-02-17T00:00:00"/>
    <x v="1"/>
    <x v="1"/>
    <x v="0"/>
    <x v="7"/>
    <x v="37"/>
    <s v="E- J&amp;C calçotada x 10MM"/>
    <n v="15.505832449628842"/>
    <n v="16.188759278897134"/>
    <n v="12.051571133560307"/>
    <n v="0"/>
    <n v="2"/>
    <n v="9.52"/>
    <n v="0"/>
    <n v="0"/>
    <n v="19.04"/>
    <n v="0"/>
    <n v="40.630000000000003"/>
    <n v="0"/>
    <n v="23"/>
    <n v="2"/>
    <n v="23"/>
    <n v="1"/>
    <n v="23"/>
    <n v="69"/>
    <n v="445.35356286208622"/>
    <n v="850"/>
    <n v="2.7906457554278058E-3"/>
  </r>
  <r>
    <d v="2024-02-18T00:00:00"/>
    <x v="1"/>
    <x v="1"/>
    <x v="0"/>
    <x v="11"/>
    <x v="41"/>
    <s v="E- LVP MM"/>
    <n v="99.547444326617168"/>
    <n v="103.93183457051961"/>
    <n v="77.371086677457171"/>
    <n v="0"/>
    <n v="0"/>
    <n v="0"/>
    <n v="4"/>
    <n v="3"/>
    <n v="12"/>
    <n v="0"/>
    <n v="40.630000000000003"/>
    <n v="0"/>
    <n v="126"/>
    <n v="0"/>
    <n v="126"/>
    <n v="4"/>
    <n v="126"/>
    <n v="504"/>
    <n v="670.83876557459382"/>
    <n v="5457"/>
    <n v="1.7915945749846514E-2"/>
  </r>
  <r>
    <d v="2024-02-19T00:00:00"/>
    <x v="1"/>
    <x v="1"/>
    <x v="0"/>
    <x v="3"/>
    <x v="42"/>
    <s v="E- Pure Perfection coffee+coctel x 25MM"/>
    <n v="57.772907491734763"/>
    <n v="60.317412513255569"/>
    <n v="44.902736211747637"/>
    <n v="0"/>
    <n v="2"/>
    <n v="14.75"/>
    <n v="1"/>
    <n v="2"/>
    <n v="31.5"/>
    <n v="0"/>
    <n v="40.630000000000003"/>
    <n v="0"/>
    <n v="120"/>
    <n v="1"/>
    <n v="120"/>
    <n v="1"/>
    <n v="120"/>
    <n v="240"/>
    <n v="834.12705621673797"/>
    <n v="3167"/>
    <n v="1.0397617773458661E-2"/>
  </r>
  <r>
    <d v="2024-02-19T00:00:00"/>
    <x v="1"/>
    <x v="1"/>
    <x v="0"/>
    <x v="1"/>
    <x v="16"/>
    <s v="E-Pure Perfection cena x25 MM"/>
    <n v="54.233929262054765"/>
    <n v="56.62256627783669"/>
    <n v="42.152142329499753"/>
    <n v="0"/>
    <n v="1"/>
    <n v="8.1"/>
    <n v="0"/>
    <n v="0"/>
    <n v="8.1"/>
    <n v="0"/>
    <n v="40.630000000000003"/>
    <n v="0"/>
    <n v="105"/>
    <n v="1"/>
    <n v="105"/>
    <n v="1"/>
    <n v="105"/>
    <n v="210"/>
    <n v="395.00463786939122"/>
    <n v="2973"/>
    <n v="9.7606939186904319E-3"/>
  </r>
  <r>
    <d v="2024-02-20T00:00:00"/>
    <x v="1"/>
    <x v="1"/>
    <x v="0"/>
    <x v="3"/>
    <x v="2"/>
    <s v="E-JOT COFFEE+CCTEL 300-LAIA"/>
    <n v="263.14309774811301"/>
    <n v="274.73276776246024"/>
    <n v="204.52225129600873"/>
    <n v="0"/>
    <n v="1"/>
    <n v="10.15"/>
    <n v="0"/>
    <n v="0"/>
    <n v="10.15"/>
    <n v="0"/>
    <n v="40.630000000000003"/>
    <n v="0"/>
    <n v="111"/>
    <n v="1"/>
    <n v="111"/>
    <n v="1"/>
    <n v="111"/>
    <n v="222"/>
    <n v="1024.4693168065821"/>
    <n v="14425"/>
    <n v="4.7358900025936589E-2"/>
  </r>
  <r>
    <d v="2024-02-20T00:00:00"/>
    <x v="1"/>
    <x v="1"/>
    <x v="0"/>
    <x v="1"/>
    <x v="43"/>
    <s v="E - ELIPTIC x 180 mm/cb"/>
    <n v="598.23325806250386"/>
    <n v="624.58137857900317"/>
    <n v="464.96379265173732"/>
    <n v="0"/>
    <n v="2"/>
    <n v="14.45"/>
    <n v="1"/>
    <n v="7"/>
    <n v="35.9"/>
    <n v="0"/>
    <n v="40.630000000000003"/>
    <n v="0"/>
    <n v="98"/>
    <n v="2"/>
    <n v="98"/>
    <n v="2"/>
    <n v="98"/>
    <n v="392"/>
    <n v="2478.3316292932441"/>
    <n v="32794"/>
    <n v="0.1076663963570582"/>
  </r>
  <r>
    <d v="2024-02-21T00:00:00"/>
    <x v="1"/>
    <x v="1"/>
    <x v="0"/>
    <x v="3"/>
    <x v="2"/>
    <s v="E-JOT COFFEE+CCTEL 300-LAIA"/>
    <n v="263.14309774811301"/>
    <n v="274.73276776246024"/>
    <n v="204.52225129600873"/>
    <n v="0"/>
    <n v="2"/>
    <n v="9"/>
    <n v="2"/>
    <n v="4"/>
    <n v="26"/>
    <n v="0"/>
    <n v="40.630000000000003"/>
    <n v="1"/>
    <n v="111"/>
    <n v="0"/>
    <n v="111"/>
    <n v="2"/>
    <n v="111"/>
    <n v="333"/>
    <n v="1339.1399168065823"/>
    <n v="14425"/>
    <n v="4.7358900025936589E-2"/>
  </r>
  <r>
    <d v="2024-02-21T00:00:00"/>
    <x v="1"/>
    <x v="1"/>
    <x v="0"/>
    <x v="3"/>
    <x v="16"/>
    <s v="E - Bacus cocktail dinner 50 cristina"/>
    <n v="82.0897012039174"/>
    <n v="85.705196182396605"/>
    <n v="63.802435412966332"/>
    <n v="0"/>
    <n v="2"/>
    <n v="9"/>
    <n v="1"/>
    <n v="2"/>
    <n v="20"/>
    <n v="0"/>
    <n v="40.630000000000003"/>
    <n v="0"/>
    <n v="105"/>
    <n v="1"/>
    <n v="105"/>
    <n v="1"/>
    <n v="105"/>
    <n v="210"/>
    <n v="687.79333279928039"/>
    <n v="4500"/>
    <n v="1.4774006940500149E-2"/>
  </r>
  <r>
    <d v="2024-02-21T00:00:00"/>
    <x v="1"/>
    <x v="1"/>
    <x v="0"/>
    <x v="12"/>
    <x v="43"/>
    <s v="E - ELIPTIC x 180 mm/cb"/>
    <n v="598.23325806250386"/>
    <n v="624.58137857900317"/>
    <n v="464.96379265173732"/>
    <n v="0"/>
    <n v="2"/>
    <n v="12"/>
    <n v="0"/>
    <n v="0"/>
    <n v="24"/>
    <n v="0"/>
    <n v="40.630000000000003"/>
    <n v="0"/>
    <n v="98"/>
    <n v="2"/>
    <n v="98"/>
    <n v="1"/>
    <n v="98"/>
    <n v="294"/>
    <n v="2238.2008292932442"/>
    <n v="32794"/>
    <n v="0.1076663963570582"/>
  </r>
  <r>
    <d v="2024-02-21T00:00:00"/>
    <x v="1"/>
    <x v="1"/>
    <x v="1"/>
    <x v="7"/>
    <x v="11"/>
    <s v="E BMC calçotada 250 p MG"/>
    <n v="210.14963508202854"/>
    <n v="219.40530222693531"/>
    <n v="163.3342346571938"/>
    <n v="0"/>
    <n v="0"/>
    <n v="0"/>
    <n v="1"/>
    <n v="3"/>
    <n v="3"/>
    <n v="0"/>
    <n v="40.630000000000003"/>
    <n v="0"/>
    <n v="97"/>
    <n v="0"/>
    <n v="97"/>
    <n v="0"/>
    <n v="97"/>
    <n v="0"/>
    <n v="687.51917196615761"/>
    <n v="11520"/>
    <n v="3.782145776768038E-2"/>
  </r>
  <r>
    <d v="2024-02-22T00:00:00"/>
    <x v="1"/>
    <x v="1"/>
    <x v="0"/>
    <x v="3"/>
    <x v="44"/>
    <s v="E - Cloudworks CBS coffee+cocktail 50 cristina"/>
    <n v="87.015083276152453"/>
    <n v="90.847507953340411"/>
    <n v="67.63058153774432"/>
    <n v="0"/>
    <n v="2"/>
    <n v="13.85"/>
    <n v="0"/>
    <n v="0"/>
    <n v="27.7"/>
    <n v="0"/>
    <n v="40.630000000000003"/>
    <n v="0"/>
    <n v="116"/>
    <n v="1"/>
    <n v="116"/>
    <n v="1"/>
    <n v="116"/>
    <n v="232"/>
    <n v="846.1103727672371"/>
    <n v="4770"/>
    <n v="1.566044735693016E-2"/>
  </r>
  <r>
    <d v="2024-02-22T00:00:00"/>
    <x v="1"/>
    <x v="1"/>
    <x v="0"/>
    <x v="1"/>
    <x v="43"/>
    <s v="E - ELIPTIC x 180 mm/cb"/>
    <n v="598.23325806250386"/>
    <n v="624.58137857900317"/>
    <n v="464.96379265173732"/>
    <n v="0"/>
    <n v="1"/>
    <n v="12.25"/>
    <n v="1"/>
    <n v="4"/>
    <n v="16.25"/>
    <n v="0"/>
    <n v="40.630000000000003"/>
    <n v="0"/>
    <n v="98"/>
    <n v="1"/>
    <n v="98"/>
    <n v="1"/>
    <n v="98"/>
    <n v="196"/>
    <n v="2072.7700292932441"/>
    <n v="32794"/>
    <n v="0.1076663963570582"/>
  </r>
  <r>
    <d v="2024-02-22T00:00:00"/>
    <x v="1"/>
    <x v="1"/>
    <x v="0"/>
    <x v="1"/>
    <x v="1"/>
    <s v="E - Grifols sopar 100 cristina"/>
    <n v="186.90912856340839"/>
    <n v="195.14120890774126"/>
    <n v="145.27105627583401"/>
    <n v="0"/>
    <n v="2"/>
    <n v="10"/>
    <n v="0"/>
    <n v="0"/>
    <n v="20"/>
    <n v="0"/>
    <n v="40.630000000000003"/>
    <n v="0"/>
    <n v="82"/>
    <n v="1"/>
    <n v="82"/>
    <n v="2"/>
    <n v="82"/>
    <n v="246"/>
    <n v="993.04299374698348"/>
    <n v="10246"/>
    <n v="3.3638772247192118E-2"/>
  </r>
  <r>
    <d v="2024-02-25T00:00:00"/>
    <x v="1"/>
    <x v="1"/>
    <x v="0"/>
    <x v="6"/>
    <x v="45"/>
    <s v="E-DAMM 70 coffee+buffet-laia"/>
    <n v="198.78477200424177"/>
    <n v="207.53989395546131"/>
    <n v="154.50114193224314"/>
    <n v="0"/>
    <n v="2"/>
    <n v="11"/>
    <n v="1"/>
    <n v="6.7"/>
    <n v="28.7"/>
    <n v="0"/>
    <n v="40.630000000000003"/>
    <n v="0"/>
    <n v="120"/>
    <n v="3"/>
    <n v="120"/>
    <n v="1"/>
    <n v="120"/>
    <n v="480"/>
    <n v="1245.0638078919465"/>
    <n v="10897"/>
    <n v="3.5776078584584474E-2"/>
  </r>
  <r>
    <d v="2024-02-25T00:00:00"/>
    <x v="1"/>
    <x v="1"/>
    <x v="0"/>
    <x v="3"/>
    <x v="16"/>
    <s v="E-DENTONS 100 sopar cctel-laia"/>
    <n v="152.68684423928639"/>
    <n v="159.41166489925769"/>
    <n v="118.67252986811738"/>
    <n v="0"/>
    <n v="1"/>
    <n v="9"/>
    <n v="0"/>
    <n v="0"/>
    <n v="9"/>
    <n v="0"/>
    <n v="40.630000000000003"/>
    <n v="0"/>
    <n v="105"/>
    <n v="1"/>
    <n v="105"/>
    <n v="1"/>
    <n v="105"/>
    <n v="210"/>
    <n v="688.96703900666148"/>
    <n v="8370"/>
    <n v="2.7479652909330278E-2"/>
  </r>
  <r>
    <d v="2024-02-25T00:00:00"/>
    <x v="1"/>
    <x v="1"/>
    <x v="0"/>
    <x v="1"/>
    <x v="21"/>
    <s v="E- MT GLOBAL 15 banquet-LAIA "/>
    <n v="80.520875803131432"/>
    <n v="84.067274655355249"/>
    <n v="62.58309998062964"/>
    <n v="0"/>
    <n v="1"/>
    <n v="11.75"/>
    <n v="0"/>
    <n v="0"/>
    <n v="11.75"/>
    <n v="0"/>
    <n v="40.630000000000003"/>
    <n v="0"/>
    <n v="130"/>
    <n v="1"/>
    <n v="130"/>
    <n v="1"/>
    <n v="130"/>
    <n v="260"/>
    <n v="548.09725043911635"/>
    <n v="4414"/>
    <n v="1.4491659252303925E-2"/>
  </r>
  <r>
    <d v="2024-02-26T00:00:00"/>
    <x v="1"/>
    <x v="1"/>
    <x v="0"/>
    <x v="3"/>
    <x v="46"/>
    <s v="E- MT GLOBAL 60 CCTEL-LAIA / E WorldExerience 12 gala cristina"/>
    <n v="254.00377768074353"/>
    <n v="265.19092258748674"/>
    <n v="197.41891348669847"/>
    <n v="0"/>
    <n v="1"/>
    <n v="9.8000000000000007"/>
    <n v="2"/>
    <n v="8"/>
    <n v="25.8"/>
    <n v="0"/>
    <n v="40.630000000000003"/>
    <n v="0"/>
    <n v="125"/>
    <n v="1"/>
    <n v="125"/>
    <n v="1"/>
    <n v="125"/>
    <n v="250"/>
    <n v="1287.7936137549289"/>
    <n v="13924"/>
    <n v="4.5714060586560905E-2"/>
  </r>
  <r>
    <d v="2024-02-27T00:00:00"/>
    <x v="1"/>
    <x v="1"/>
    <x v="0"/>
    <x v="1"/>
    <x v="47"/>
    <s v="E- Viajes Andromeda cena x 26 MM"/>
    <n v="48.505892333603633"/>
    <n v="50.642248144220567"/>
    <n v="37.700150169572765"/>
    <n v="0"/>
    <n v="1"/>
    <n v="9.75"/>
    <n v="2"/>
    <n v="4"/>
    <n v="17.75"/>
    <n v="0"/>
    <n v="40.630000000000003"/>
    <n v="0"/>
    <n v="120"/>
    <n v="1"/>
    <n v="120"/>
    <n v="1"/>
    <n v="120"/>
    <n v="240"/>
    <n v="560.48229064739701"/>
    <n v="2659"/>
    <n v="8.7297965455088652E-3"/>
  </r>
  <r>
    <d v="2024-02-27T00:00:00"/>
    <x v="1"/>
    <x v="1"/>
    <x v="0"/>
    <x v="13"/>
    <x v="48"/>
    <s v="E- Consell comarcal copa cava x 50 MM"/>
    <n v="23.714802570020581"/>
    <n v="24.759278897136795"/>
    <n v="18.431814674856938"/>
    <n v="0"/>
    <n v="1"/>
    <n v="7"/>
    <n v="0"/>
    <n v="0"/>
    <n v="7"/>
    <n v="0"/>
    <n v="40.630000000000003"/>
    <n v="0"/>
    <n v="56"/>
    <n v="1"/>
    <n v="56"/>
    <n v="1"/>
    <n v="56"/>
    <n v="112"/>
    <n v="263.17109614201433"/>
    <n v="1300"/>
    <n v="4.2680464494778206E-3"/>
  </r>
  <r>
    <d v="2024-02-28T00:00:00"/>
    <x v="1"/>
    <x v="1"/>
    <x v="0"/>
    <x v="3"/>
    <x v="49"/>
    <s v="E-FCB cocktail50 cristina"/>
    <n v="92.122886906618419"/>
    <n v="96.180275715800619"/>
    <n v="71.600510852328881"/>
    <n v="0"/>
    <n v="2"/>
    <n v="9.75"/>
    <n v="0"/>
    <n v="0"/>
    <n v="19.5"/>
    <n v="0"/>
    <n v="40.630000000000003"/>
    <n v="0"/>
    <n v="110"/>
    <n v="1"/>
    <n v="110"/>
    <n v="0"/>
    <n v="110"/>
    <n v="110"/>
    <n v="680.63967347474784"/>
    <n v="5050"/>
    <n v="1.657971889989461E-2"/>
  </r>
  <r>
    <d v="2024-02-29T00:00:00"/>
    <x v="1"/>
    <x v="1"/>
    <x v="0"/>
    <x v="3"/>
    <x v="50"/>
    <s v="E - Grifols cocktail afterworks 140 cristina"/>
    <n v="80.995171854531847"/>
    <n v="84.562460233297983"/>
    <n v="62.95173627412678"/>
    <n v="0"/>
    <n v="1"/>
    <n v="7.8"/>
    <n v="0"/>
    <n v="0"/>
    <n v="7.8"/>
    <n v="0"/>
    <n v="40.630000000000003"/>
    <n v="0"/>
    <n v="83"/>
    <n v="1"/>
    <n v="83"/>
    <n v="1"/>
    <n v="83"/>
    <n v="166"/>
    <n v="453.46296836195665"/>
    <n v="4440"/>
    <n v="1.4577020181293482E-2"/>
  </r>
  <r>
    <d v="2024-02-05T00:00:00"/>
    <x v="1"/>
    <x v="2"/>
    <x v="3"/>
    <x v="9"/>
    <x v="51"/>
    <s v="A - DISFRESSA OR"/>
    <n v="0"/>
    <n v="0"/>
    <n v="0"/>
    <n v="0"/>
    <n v="0"/>
    <n v="0"/>
    <n v="0"/>
    <n v="0"/>
    <n v="0"/>
    <n v="0"/>
    <n v="40.630000000000003"/>
    <n v="0"/>
    <n v="0"/>
    <n v="0"/>
    <n v="0"/>
    <n v="0"/>
    <n v="0"/>
    <n v="0"/>
    <n v="180"/>
    <m/>
    <m/>
  </r>
  <r>
    <d v="2024-02-19T00:00:00"/>
    <x v="1"/>
    <x v="2"/>
    <x v="3"/>
    <x v="9"/>
    <x v="52"/>
    <m/>
    <n v="0"/>
    <n v="0"/>
    <n v="0"/>
    <n v="0"/>
    <n v="0"/>
    <n v="0"/>
    <n v="0"/>
    <n v="0"/>
    <n v="0"/>
    <n v="0"/>
    <n v="40.630000000000003"/>
    <n v="0"/>
    <n v="0"/>
    <n v="0"/>
    <n v="0"/>
    <n v="0"/>
    <n v="0"/>
    <n v="0"/>
    <n v="434"/>
    <m/>
    <m/>
  </r>
  <r>
    <d v="2024-02-01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02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03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05T00:00:00"/>
    <x v="1"/>
    <x v="3"/>
    <x v="2"/>
    <x v="8"/>
    <x v="28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  <m/>
    <m/>
  </r>
  <r>
    <d v="2024-02-07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08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09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10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12T00:00:00"/>
    <x v="1"/>
    <x v="3"/>
    <x v="2"/>
    <x v="8"/>
    <x v="28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  <m/>
    <m/>
  </r>
  <r>
    <d v="2024-02-14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15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16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17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19T00:00:00"/>
    <x v="1"/>
    <x v="3"/>
    <x v="2"/>
    <x v="8"/>
    <x v="28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  <m/>
    <m/>
  </r>
  <r>
    <d v="2024-02-21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22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23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24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26T00:00:00"/>
    <x v="1"/>
    <x v="3"/>
    <x v="2"/>
    <x v="8"/>
    <x v="28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  <m/>
    <m/>
  </r>
  <r>
    <d v="2024-02-28T00:00:00"/>
    <x v="1"/>
    <x v="3"/>
    <x v="2"/>
    <x v="8"/>
    <x v="28"/>
    <m/>
    <n v="0"/>
    <n v="0"/>
    <n v="0"/>
    <n v="0"/>
    <n v="1"/>
    <n v="4"/>
    <n v="0"/>
    <n v="0"/>
    <n v="4"/>
    <n v="0"/>
    <n v="2.5499999999999998"/>
    <n v="0"/>
    <n v="0"/>
    <n v="0"/>
    <n v="0"/>
    <n v="1"/>
    <n v="104"/>
    <n v="104"/>
    <n v="102.0684"/>
    <m/>
    <m/>
  </r>
  <r>
    <d v="2024-02-29T00:00:00"/>
    <x v="1"/>
    <x v="3"/>
    <x v="2"/>
    <x v="8"/>
    <x v="28"/>
    <m/>
    <n v="0"/>
    <n v="0"/>
    <n v="0"/>
    <n v="0"/>
    <n v="2"/>
    <n v="4"/>
    <n v="0"/>
    <n v="0"/>
    <n v="8"/>
    <n v="0"/>
    <n v="2.5499999999999998"/>
    <n v="0"/>
    <n v="0"/>
    <n v="0"/>
    <n v="0"/>
    <n v="2"/>
    <n v="104"/>
    <n v="208"/>
    <n v="201.58680000000001"/>
    <m/>
    <m/>
  </r>
  <r>
    <d v="2024-02-01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06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08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13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15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16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20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22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27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2-29T00:00:00"/>
    <x v="1"/>
    <x v="4"/>
    <x v="2"/>
    <x v="8"/>
    <x v="29"/>
    <m/>
    <n v="62.92"/>
    <n v="59.72"/>
    <n v="0"/>
    <n v="0"/>
    <n v="2"/>
    <n v="5"/>
    <n v="0"/>
    <n v="0"/>
    <n v="10"/>
    <n v="0"/>
    <n v="42.89"/>
    <n v="0"/>
    <n v="0"/>
    <n v="0"/>
    <n v="0"/>
    <n v="2"/>
    <n v="150"/>
    <n v="300"/>
    <n v="424.90999999999997"/>
    <m/>
    <m/>
  </r>
  <r>
    <d v="2024-03-01T00:00:00"/>
    <x v="2"/>
    <x v="1"/>
    <x v="0"/>
    <x v="1"/>
    <x v="53"/>
    <s v="E - KIVICOM banquet x 130 MM"/>
    <n v="259.40814968492748"/>
    <n v="253.16110523821914"/>
    <n v="189.31809162310645"/>
    <n v="0"/>
    <n v="2"/>
    <n v="12.75"/>
    <n v="2"/>
    <n v="6"/>
    <n v="37.5"/>
    <n v="0"/>
    <n v="109.72"/>
    <n v="2"/>
    <n v="120"/>
    <n v="1"/>
    <n v="120"/>
    <n v="1"/>
    <n v="120"/>
    <n v="480"/>
    <n v="1613.615346546253"/>
    <n v="13712"/>
    <n v="4.1218292733625608E-2"/>
  </r>
  <r>
    <d v="2024-03-02T00:00:00"/>
    <x v="2"/>
    <x v="1"/>
    <x v="0"/>
    <x v="11"/>
    <x v="41"/>
    <s v="E- LVP MM"/>
    <n v="94.534898189584482"/>
    <n v="92.258317012498622"/>
    <n v="68.992306289429905"/>
    <n v="0"/>
    <n v="0"/>
    <n v="0"/>
    <n v="3"/>
    <n v="3"/>
    <n v="9"/>
    <n v="0"/>
    <n v="109.72"/>
    <n v="0"/>
    <n v="105"/>
    <n v="0"/>
    <n v="105"/>
    <n v="3"/>
    <n v="105"/>
    <n v="315"/>
    <n v="610.85452149151297"/>
    <n v="4997"/>
    <n v="1.5020989555858165E-2"/>
  </r>
  <r>
    <d v="2024-03-02T00:00:00"/>
    <x v="2"/>
    <x v="1"/>
    <x v="0"/>
    <x v="3"/>
    <x v="54"/>
    <s v="E - Spathios 50 cocktail lunch + OB cristina"/>
    <n v="133.88502591308574"/>
    <n v="130.66081839052487"/>
    <n v="97.710336523973481"/>
    <n v="0"/>
    <n v="1"/>
    <n v="16.25"/>
    <n v="0"/>
    <n v="0"/>
    <n v="16.25"/>
    <n v="0"/>
    <n v="109.72"/>
    <n v="0"/>
    <n v="120"/>
    <n v="1"/>
    <n v="120"/>
    <n v="1"/>
    <n v="120"/>
    <n v="240"/>
    <n v="827.98018082758415"/>
    <n v="7077"/>
    <n v="2.1273472700982236E-2"/>
  </r>
  <r>
    <d v="2024-03-05T00:00:00"/>
    <x v="2"/>
    <x v="1"/>
    <x v="0"/>
    <x v="1"/>
    <x v="49"/>
    <s v="E - OpticaUniversitaria sopar 200 cristina"/>
    <n v="357.15916408268271"/>
    <n v="348.55808822872956"/>
    <n v="260.65754461439809"/>
    <n v="0"/>
    <n v="3"/>
    <n v="12"/>
    <n v="2"/>
    <n v="4"/>
    <n v="44"/>
    <n v="0"/>
    <n v="109.72"/>
    <n v="1"/>
    <n v="110"/>
    <n v="2"/>
    <n v="110"/>
    <n v="1"/>
    <n v="110"/>
    <n v="440"/>
    <n v="1984.5187969258104"/>
    <n v="18879"/>
    <n v="5.6750302546537186E-2"/>
  </r>
  <r>
    <d v="2024-03-05T00:00:00"/>
    <x v="2"/>
    <x v="1"/>
    <x v="0"/>
    <x v="3"/>
    <x v="1"/>
    <s v="E - Grifols 40 cocktail cristina"/>
    <n v="42.150040657673451"/>
    <n v="41.134987053001183"/>
    <n v="30.761428539693785"/>
    <n v="0"/>
    <n v="1"/>
    <n v="7.59"/>
    <n v="0"/>
    <n v="0"/>
    <n v="7.59"/>
    <n v="0"/>
    <n v="109.72"/>
    <n v="0"/>
    <n v="83"/>
    <n v="1"/>
    <n v="83"/>
    <n v="1"/>
    <n v="83"/>
    <n v="166"/>
    <n v="404.31005625036846"/>
    <n v="2228"/>
    <n v="6.6973713689117455E-3"/>
  </r>
  <r>
    <d v="2024-03-06T00:00:00"/>
    <x v="2"/>
    <x v="1"/>
    <x v="1"/>
    <x v="3"/>
    <x v="13"/>
    <s v="E - GRUPO RIC - ICCA 100 PAX AFV "/>
    <n v="185.39964023572705"/>
    <n v="180.93486226185442"/>
    <n v="135.30610398967644"/>
    <n v="0"/>
    <n v="2"/>
    <n v="8.5"/>
    <n v="0"/>
    <n v="0"/>
    <n v="17"/>
    <n v="0"/>
    <n v="109.72"/>
    <n v="0"/>
    <n v="80"/>
    <n v="1"/>
    <n v="80"/>
    <n v="1"/>
    <n v="80"/>
    <n v="160"/>
    <n v="959.6966064872579"/>
    <n v="9800"/>
    <n v="2.9458814818373029E-2"/>
  </r>
  <r>
    <d v="2024-03-08T00:00:00"/>
    <x v="2"/>
    <x v="1"/>
    <x v="0"/>
    <x v="1"/>
    <x v="55"/>
    <s v="E-EXOTICA COFFEE + BANQUET AFV "/>
    <n v="19.448043894115042"/>
    <n v="18.979697796447585"/>
    <n v="14.193334173610957"/>
    <n v="0"/>
    <n v="1"/>
    <n v="10"/>
    <n v="0"/>
    <n v="0"/>
    <n v="10"/>
    <n v="0"/>
    <n v="109.72"/>
    <n v="0"/>
    <n v="122"/>
    <n v="1"/>
    <n v="122"/>
    <n v="1"/>
    <n v="122"/>
    <n v="244"/>
    <n v="406.90347586417352"/>
    <n v="1028"/>
    <n v="3.0901695544170893E-3"/>
  </r>
  <r>
    <d v="2024-03-12T00:00:00"/>
    <x v="2"/>
    <x v="1"/>
    <x v="0"/>
    <x v="1"/>
    <x v="3"/>
    <s v="E - liquid x 50 sopar CB-laia"/>
    <n v="78.70025544700249"/>
    <n v="76.805002756052488"/>
    <n v="57.436060469087138"/>
    <n v="0"/>
    <n v="1"/>
    <n v="7"/>
    <n v="0"/>
    <n v="0"/>
    <n v="7"/>
    <n v="0"/>
    <n v="109.72"/>
    <n v="0"/>
    <n v="20"/>
    <n v="1"/>
    <n v="20"/>
    <n v="1"/>
    <n v="20"/>
    <n v="40"/>
    <n v="459.24531867214216"/>
    <n v="4160"/>
    <n v="1.2504966290248143E-2"/>
  </r>
  <r>
    <d v="2024-03-13T00:00:00"/>
    <x v="2"/>
    <x v="1"/>
    <x v="0"/>
    <x v="13"/>
    <x v="49"/>
    <s v="E - Fcb copa cava 150 cristina"/>
    <n v="87.024320926973914"/>
    <n v="84.92860881678881"/>
    <n v="63.511028403317511"/>
    <n v="0"/>
    <n v="1"/>
    <n v="7"/>
    <n v="0"/>
    <n v="0"/>
    <n v="7"/>
    <n v="0"/>
    <n v="109.72"/>
    <m/>
    <n v="110"/>
    <m/>
    <n v="110"/>
    <m/>
    <n v="110"/>
    <n v="0"/>
    <n v="471.18395814708026"/>
    <n v="4600"/>
    <n v="1.382760695556285E-2"/>
  </r>
  <r>
    <d v="2024-03-13T00:00:00"/>
    <x v="2"/>
    <x v="1"/>
    <x v="0"/>
    <x v="5"/>
    <x v="3"/>
    <s v="E-MAXIMICE CONCURS PAELLES 250 PAX AFV "/>
    <n v="474.56632401155235"/>
    <n v="463.13785916720593"/>
    <n v="346.34220597765648"/>
    <n v="0"/>
    <n v="3"/>
    <n v="15.5"/>
    <n v="2"/>
    <n v="2"/>
    <n v="50.5"/>
    <n v="0"/>
    <n v="109.72"/>
    <n v="1"/>
    <n v="20"/>
    <n v="1"/>
    <n v="20"/>
    <n v="2"/>
    <n v="20"/>
    <n v="80"/>
    <n v="2323.9343891564145"/>
    <n v="25085"/>
    <n v="7.5405547930498723E-2"/>
  </r>
  <r>
    <d v="2024-03-14T00:00:00"/>
    <x v="2"/>
    <x v="1"/>
    <x v="0"/>
    <x v="3"/>
    <x v="21"/>
    <s v="E-INTERBAR 275 CCTEL -LAIA"/>
    <n v="514.44616499286985"/>
    <n v="502.05731729455169"/>
    <n v="375.44682508074192"/>
    <n v="0"/>
    <n v="3"/>
    <n v="8.5"/>
    <n v="2"/>
    <n v="4"/>
    <n v="33.5"/>
    <n v="0"/>
    <n v="109.72"/>
    <n v="2"/>
    <n v="130"/>
    <n v="1"/>
    <n v="130"/>
    <n v="1"/>
    <n v="130"/>
    <n v="520"/>
    <n v="2242.2623073681634"/>
    <n v="27193"/>
    <n v="8.174219911796099E-2"/>
  </r>
  <r>
    <d v="2024-03-14T00:00:00"/>
    <x v="2"/>
    <x v="1"/>
    <x v="1"/>
    <x v="13"/>
    <x v="56"/>
    <s v="E-CONSOLAT ITALIA_ 80 pax_COPA CAVA_noa"/>
    <n v="50.663289444007859"/>
    <n v="49.443220524208783"/>
    <n v="36.974463926974842"/>
    <n v="0"/>
    <n v="0"/>
    <n v="0"/>
    <n v="0"/>
    <n v="0"/>
    <n v="0"/>
    <n v="0"/>
    <n v="109.72"/>
    <n v="0"/>
    <n v="0"/>
    <n v="0"/>
    <n v="0"/>
    <n v="0"/>
    <n v="0"/>
    <n v="0"/>
    <n v="246.80097389519148"/>
    <n v="2678"/>
    <n v="8.0500720493472417E-3"/>
  </r>
  <r>
    <d v="2024-03-14T00:00:00"/>
    <x v="2"/>
    <x v="1"/>
    <x v="0"/>
    <x v="1"/>
    <x v="57"/>
    <s v="E_UAYEVENTS_69 pax_ coffe + dinar noa"/>
    <n v="101.02388559783493"/>
    <n v="98.591037191663517"/>
    <n v="73.72801992906858"/>
    <n v="0"/>
    <n v="1"/>
    <n v="13.25"/>
    <n v="0"/>
    <n v="0"/>
    <n v="13.25"/>
    <n v="0"/>
    <n v="109.72"/>
    <n v="0"/>
    <n v="94"/>
    <n v="1"/>
    <n v="94"/>
    <n v="1"/>
    <n v="94"/>
    <n v="188"/>
    <n v="671.30774271856706"/>
    <n v="5340"/>
    <n v="1.605204807450122E-2"/>
  </r>
  <r>
    <d v="2024-03-14T00:00:00"/>
    <x v="2"/>
    <x v="1"/>
    <x v="0"/>
    <x v="1"/>
    <x v="58"/>
    <s v="E_UAYEVENTS_69 pax_ cena banquete_noa"/>
    <n v="124.52045224811789"/>
    <n v="121.5217615721965"/>
    <n v="90.875997597964314"/>
    <n v="0"/>
    <n v="1"/>
    <n v="10"/>
    <n v="3"/>
    <n v="4"/>
    <n v="22"/>
    <n v="0"/>
    <n v="109.72"/>
    <n v="1"/>
    <n v="106"/>
    <n v="1"/>
    <n v="106"/>
    <n v="1"/>
    <n v="106"/>
    <n v="318"/>
    <n v="926.78101141827881"/>
    <n v="6582"/>
    <n v="1.9785501952503191E-2"/>
  </r>
  <r>
    <d v="2024-03-14T00:00:00"/>
    <x v="2"/>
    <x v="1"/>
    <x v="0"/>
    <x v="3"/>
    <x v="37"/>
    <s v="E- J&amp;C dinar coctel x 19 MM"/>
    <n v="33.296261919885673"/>
    <n v="32.494424242945279"/>
    <n v="24.299871736921482"/>
    <n v="0"/>
    <n v="0"/>
    <n v="0"/>
    <n v="0"/>
    <n v="0"/>
    <n v="0"/>
    <n v="0"/>
    <n v="109.72"/>
    <n v="0"/>
    <n v="24"/>
    <n v="1"/>
    <n v="24"/>
    <n v="0"/>
    <n v="24"/>
    <n v="24"/>
    <n v="206.16095789975245"/>
    <n v="1760"/>
    <n v="5.2905626612588293E-3"/>
  </r>
  <r>
    <d v="2004-03-15T00:00:00"/>
    <x v="2"/>
    <x v="1"/>
    <x v="0"/>
    <x v="2"/>
    <x v="59"/>
    <s v="E- CAIXABANK coffees x 100+8vip MM"/>
    <n v="57.890091747073953"/>
    <n v="56.495987604211678"/>
    <n v="42.248640633511215"/>
    <n v="0"/>
    <n v="1"/>
    <n v="8.5500000000000007"/>
    <n v="0"/>
    <n v="0"/>
    <n v="8.5500000000000007"/>
    <n v="0"/>
    <n v="109.72"/>
    <n v="0"/>
    <n v="103"/>
    <n v="1"/>
    <n v="103"/>
    <n v="0"/>
    <n v="103"/>
    <n v="103"/>
    <n v="447.50851998479686"/>
    <n v="3060"/>
    <n v="9.198364626961374E-3"/>
  </r>
  <r>
    <d v="2024-03-15T00:00:00"/>
    <x v="2"/>
    <x v="1"/>
    <x v="0"/>
    <x v="3"/>
    <x v="60"/>
    <s v="E- Las Gamundinas cocktail 700 cristina"/>
    <n v="400.59565122362443"/>
    <n v="390.94854167293539"/>
    <n v="292.35783183483653"/>
    <n v="0"/>
    <n v="2"/>
    <n v="11.5"/>
    <n v="0"/>
    <n v="0"/>
    <n v="23"/>
    <n v="0"/>
    <n v="109.72"/>
    <n v="1"/>
    <n v="140"/>
    <n v="3"/>
    <n v="140"/>
    <n v="2"/>
    <n v="140"/>
    <n v="840"/>
    <n v="1829.8860247313964"/>
    <n v="21175"/>
    <n v="6.3652082018270287E-2"/>
  </r>
  <r>
    <d v="2024-03-15T00:00:00"/>
    <x v="2"/>
    <x v="1"/>
    <x v="0"/>
    <x v="3"/>
    <x v="37"/>
    <s v="E- J&amp;C dinar coctel x 10 MM"/>
    <n v="18.558882354209"/>
    <n v="18.111948967232568"/>
    <n v="13.544417144272712"/>
    <n v="0"/>
    <n v="0"/>
    <n v="0"/>
    <n v="0"/>
    <n v="0"/>
    <n v="0"/>
    <n v="0"/>
    <n v="109.72"/>
    <n v="0"/>
    <n v="24"/>
    <n v="1"/>
    <n v="24"/>
    <n v="0"/>
    <n v="24"/>
    <n v="24"/>
    <n v="166.28564846571427"/>
    <n v="981"/>
    <n v="2.9488874833493816E-3"/>
  </r>
  <r>
    <d v="2024-03-16T00:00:00"/>
    <x v="2"/>
    <x v="1"/>
    <x v="0"/>
    <x v="3"/>
    <x v="61"/>
    <s v="E - Las Gamundinas cocktail sopar 700 cristina"/>
    <n v="669.70890452497315"/>
    <n v="653.58103306833118"/>
    <n v="488.75878379944339"/>
    <n v="0"/>
    <n v="5"/>
    <n v="16"/>
    <n v="1"/>
    <n v="8.5"/>
    <n v="88.5"/>
    <n v="0"/>
    <n v="109.72"/>
    <n v="1"/>
    <n v="140"/>
    <n v="3"/>
    <n v="140"/>
    <n v="2"/>
    <n v="140"/>
    <n v="840"/>
    <n v="3737.0327213927476"/>
    <n v="35400"/>
    <n v="0.10641245352759236"/>
  </r>
  <r>
    <d v="2024-03-16T00:00:00"/>
    <x v="2"/>
    <x v="0"/>
    <x v="1"/>
    <x v="0"/>
    <x v="13"/>
    <s v="C 160324 MONICA i EDUARD "/>
    <n v="608.73190876797435"/>
    <n v="594.07248000745972"/>
    <n v="444.25729653450412"/>
    <n v="0"/>
    <n v="1"/>
    <n v="14.3"/>
    <n v="1"/>
    <n v="4"/>
    <n v="18.3"/>
    <n v="0"/>
    <n v="109.72"/>
    <n v="0"/>
    <n v="80"/>
    <n v="1"/>
    <n v="80"/>
    <n v="1"/>
    <n v="80"/>
    <n v="160"/>
    <n v="2128.5176853099383"/>
    <n v="32176.83"/>
    <n v="9.6723599633905089E-2"/>
  </r>
  <r>
    <d v="2024-03-17T00:00:00"/>
    <x v="2"/>
    <x v="1"/>
    <x v="0"/>
    <x v="14"/>
    <x v="62"/>
    <s v="E- SAINT-GOBAIN family dayx420 MM"/>
    <n v="225.12813457195423"/>
    <n v="219.70661846082319"/>
    <n v="164.30026913032137"/>
    <n v="0"/>
    <n v="1"/>
    <n v="11.55"/>
    <n v="4"/>
    <n v="3"/>
    <n v="23.55"/>
    <n v="0"/>
    <n v="109.72"/>
    <n v="0"/>
    <n v="75"/>
    <n v="1"/>
    <n v="75"/>
    <n v="2"/>
    <n v="75"/>
    <n v="225"/>
    <n v="1202.2900221630989"/>
    <n v="11900"/>
    <n v="3.5771417993738674E-2"/>
  </r>
  <r>
    <d v="2024-03-20T00:00:00"/>
    <x v="2"/>
    <x v="1"/>
    <x v="0"/>
    <x v="1"/>
    <x v="3"/>
    <s v="E-CALDIC GALA DINNER 125 afv"/>
    <n v="238.54123099309001"/>
    <n v="232.79670186323696"/>
    <n v="174.08925155161532"/>
    <n v="0"/>
    <n v="3"/>
    <n v="10"/>
    <n v="3"/>
    <n v="2"/>
    <n v="36"/>
    <n v="0"/>
    <n v="109.72"/>
    <n v="3"/>
    <n v="20"/>
    <n v="2"/>
    <n v="20"/>
    <n v="2"/>
    <n v="20"/>
    <n v="140"/>
    <n v="1440.1911844079423"/>
    <n v="12609"/>
    <n v="3.7902673065802604E-2"/>
  </r>
  <r>
    <d v="2024-03-20T00:00:00"/>
    <x v="2"/>
    <x v="1"/>
    <x v="0"/>
    <x v="3"/>
    <x v="63"/>
    <s v="E - Mut cocktail dinner 150 cristina"/>
    <n v="187.29147329935691"/>
    <n v="182.78113636656721"/>
    <n v="136.68677852018334"/>
    <n v="0"/>
    <n v="1"/>
    <n v="10.9"/>
    <n v="0"/>
    <n v="0"/>
    <n v="10.9"/>
    <n v="0"/>
    <n v="109.72"/>
    <n v="0"/>
    <n v="102"/>
    <n v="1"/>
    <n v="102"/>
    <n v="1"/>
    <n v="102"/>
    <n v="204"/>
    <n v="866.6577881861075"/>
    <n v="9900"/>
    <n v="2.9759414969580917E-2"/>
  </r>
  <r>
    <d v="2024-03-20T00:00:00"/>
    <x v="2"/>
    <x v="1"/>
    <x v="0"/>
    <x v="3"/>
    <x v="64"/>
    <s v="E - CambraBcn 30 cocktail dinar cristina"/>
    <n v="28.282904301266523"/>
    <n v="27.601797865456362"/>
    <n v="20.641084231078192"/>
    <n v="0"/>
    <n v="0"/>
    <n v="0"/>
    <n v="0"/>
    <n v="0"/>
    <n v="0"/>
    <n v="0"/>
    <n v="109.72"/>
    <n v="0"/>
    <n v="104"/>
    <n v="0"/>
    <n v="104"/>
    <n v="1"/>
    <n v="104"/>
    <n v="104"/>
    <n v="213.76418639780107"/>
    <n v="1495"/>
    <n v="4.4939722605579265E-3"/>
  </r>
  <r>
    <d v="2024-03-21T00:00:00"/>
    <x v="2"/>
    <x v="1"/>
    <x v="0"/>
    <x v="2"/>
    <x v="16"/>
    <s v="E-SOLSONA COMUNICACIO coffeex70 MM"/>
    <n v="36.833989748873528"/>
    <n v="35.946956818758217"/>
    <n v="26.881733108969392"/>
    <n v="0"/>
    <n v="1"/>
    <n v="10"/>
    <n v="0"/>
    <n v="0"/>
    <n v="10"/>
    <n v="0"/>
    <n v="109.72"/>
    <n v="0"/>
    <n v="106"/>
    <n v="1"/>
    <n v="106"/>
    <n v="1"/>
    <n v="106"/>
    <n v="212"/>
    <n v="445.47787967660111"/>
    <n v="1947"/>
    <n v="5.8526849440175806E-3"/>
  </r>
  <r>
    <d v="2024-03-21T00:00:00"/>
    <x v="2"/>
    <x v="1"/>
    <x v="0"/>
    <x v="3"/>
    <x v="58"/>
    <s v="E - BACUS x 70 CO"/>
    <n v="97.996952696027137"/>
    <n v="95.636998624123038"/>
    <n v="71.518940680257543"/>
    <n v="0"/>
    <n v="1"/>
    <n v="10"/>
    <n v="0"/>
    <n v="0"/>
    <n v="10"/>
    <n v="0"/>
    <n v="109.72"/>
    <n v="0"/>
    <n v="105"/>
    <n v="1"/>
    <n v="105"/>
    <n v="2"/>
    <n v="105"/>
    <n v="315"/>
    <n v="638.22189200040771"/>
    <n v="5180"/>
    <n v="1.55710878325686E-2"/>
  </r>
  <r>
    <d v="2024-03-21T00:00:00"/>
    <x v="2"/>
    <x v="1"/>
    <x v="0"/>
    <x v="3"/>
    <x v="65"/>
    <s v="E-RDP Terramar coctel x 50 MM"/>
    <n v="30.269329018077883"/>
    <n v="29.540385675404803"/>
    <n v="22.090792488110438"/>
    <n v="0"/>
    <n v="1"/>
    <n v="8"/>
    <n v="0"/>
    <n v="0"/>
    <n v="8"/>
    <n v="0"/>
    <n v="109.72"/>
    <n v="0"/>
    <n v="75"/>
    <n v="1"/>
    <n v="75"/>
    <n v="1"/>
    <n v="75"/>
    <n v="150"/>
    <n v="375.31050718159315"/>
    <n v="1600"/>
    <n v="4.8096024193262088E-3"/>
  </r>
  <r>
    <d v="2024-03-21T00:00:00"/>
    <x v="2"/>
    <x v="1"/>
    <x v="0"/>
    <x v="3"/>
    <x v="2"/>
    <s v="E-generalitat cofeee+cocktail 250/300 noa"/>
    <n v="348.09728370789566"/>
    <n v="339.71443526715524"/>
    <n v="254.04411361327004"/>
    <n v="0"/>
    <n v="2"/>
    <n v="13"/>
    <n v="3"/>
    <n v="4"/>
    <n v="38"/>
    <n v="0"/>
    <n v="109.72"/>
    <n v="1"/>
    <n v="111"/>
    <n v="0"/>
    <n v="111"/>
    <n v="0"/>
    <n v="111"/>
    <n v="111"/>
    <n v="1764.9464325883212"/>
    <n v="18400"/>
    <n v="5.5310427822251401E-2"/>
  </r>
  <r>
    <d v="2024-03-21T00:00:00"/>
    <x v="2"/>
    <x v="1"/>
    <x v="0"/>
    <x v="3"/>
    <x v="21"/>
    <s v="E-FLOWCOMUNICATION COFFEE+CCTEL 45-LAIA"/>
    <n v="67.084400436315107"/>
    <n v="65.468879753115885"/>
    <n v="48.958718851774755"/>
    <n v="0"/>
    <n v="1"/>
    <n v="11.05"/>
    <n v="0"/>
    <n v="0"/>
    <n v="11.05"/>
    <n v="0"/>
    <n v="109.72"/>
    <n v="1"/>
    <n v="130"/>
    <n v="1"/>
    <n v="130"/>
    <n v="1"/>
    <n v="130"/>
    <n v="390"/>
    <n v="593.3259990412057"/>
    <n v="3546"/>
    <n v="1.065928136183171E-2"/>
  </r>
  <r>
    <d v="2024-03-21T00:00:00"/>
    <x v="2"/>
    <x v="1"/>
    <x v="0"/>
    <x v="2"/>
    <x v="66"/>
    <s v="E-SOLSONA COMUNICACIO coffeex70 MM"/>
    <n v="65.760117291774208"/>
    <n v="64.176487879816932"/>
    <n v="47.992246680419932"/>
    <n v="0"/>
    <n v="1"/>
    <n v="11"/>
    <n v="0"/>
    <n v="0"/>
    <n v="11"/>
    <n v="0"/>
    <n v="109.72"/>
    <n v="0"/>
    <n v="111"/>
    <n v="1"/>
    <n v="111"/>
    <n v="1"/>
    <n v="111"/>
    <n v="222"/>
    <n v="544.39005185201108"/>
    <n v="3476"/>
    <n v="1.0448861255986189E-2"/>
  </r>
  <r>
    <d v="2024-03-21T00:00:00"/>
    <x v="2"/>
    <x v="1"/>
    <x v="1"/>
    <x v="2"/>
    <x v="67"/>
    <s v="E - Catalana Occident 130pax Reunió + coffee (AFV)"/>
    <n v="103.10490196782779"/>
    <n v="100.6219387068476"/>
    <n v="75.24676191262617"/>
    <n v="0"/>
    <n v="0"/>
    <n v="0"/>
    <n v="1"/>
    <n v="3"/>
    <n v="3"/>
    <n v="0"/>
    <n v="109.72"/>
    <n v="0"/>
    <n v="26"/>
    <n v="1"/>
    <n v="26"/>
    <n v="1"/>
    <n v="26"/>
    <n v="52"/>
    <n v="456.45280258730156"/>
    <n v="5450"/>
    <n v="1.6382708240829897E-2"/>
  </r>
  <r>
    <d v="2024-03-23T00:00:00"/>
    <x v="2"/>
    <x v="1"/>
    <x v="1"/>
    <x v="1"/>
    <x v="26"/>
    <s v="E- Patricia Raubert dinar x 32+12 MM"/>
    <n v="71.851819756662366"/>
    <n v="70.121490496992138"/>
    <n v="52.438018668652148"/>
    <n v="0"/>
    <n v="1"/>
    <n v="11.5"/>
    <n v="0"/>
    <n v="0"/>
    <n v="11.5"/>
    <n v="0"/>
    <n v="109.72"/>
    <n v="0"/>
    <n v="40"/>
    <n v="1"/>
    <n v="40"/>
    <n v="1"/>
    <n v="40"/>
    <n v="80"/>
    <n v="532.2993289223067"/>
    <n v="3798"/>
    <n v="1.1416793742875587E-2"/>
  </r>
  <r>
    <d v="2024-03-26T00:00:00"/>
    <x v="2"/>
    <x v="1"/>
    <x v="1"/>
    <x v="13"/>
    <x v="17"/>
    <s v="E-DAVID MARTI despedida x 100/150 MM"/>
    <n v="31.215245549892817"/>
    <n v="30.463522727761202"/>
    <n v="22.781129753363889"/>
    <n v="0"/>
    <n v="0"/>
    <n v="0"/>
    <n v="1"/>
    <n v="2"/>
    <n v="2"/>
    <n v="0"/>
    <n v="109.72"/>
    <n v="0"/>
    <n v="26"/>
    <n v="1"/>
    <n v="26"/>
    <n v="1"/>
    <n v="26"/>
    <n v="52"/>
    <n v="243.93909803101792"/>
    <n v="1650"/>
    <n v="4.9599024949301528E-3"/>
  </r>
  <r>
    <d v="2024-03-28T00:00:00"/>
    <x v="2"/>
    <x v="1"/>
    <x v="0"/>
    <x v="1"/>
    <x v="40"/>
    <s v="E - Cutte Events Gala 170 cristina"/>
    <n v="366.25888111874241"/>
    <n v="357.43866667239809"/>
    <n v="267.29858910613632"/>
    <n v="0"/>
    <n v="3"/>
    <n v="14.39"/>
    <n v="0"/>
    <n v="0"/>
    <n v="43.17"/>
    <n v="0"/>
    <n v="109.72"/>
    <n v="1"/>
    <n v="115"/>
    <n v="1"/>
    <n v="115"/>
    <n v="1"/>
    <n v="115"/>
    <n v="345"/>
    <n v="1969.063136897277"/>
    <n v="19360"/>
    <n v="5.8196189273847128E-2"/>
  </r>
  <r>
    <d v="2024-03-14T00:00:00"/>
    <x v="2"/>
    <x v="2"/>
    <x v="3"/>
    <x v="9"/>
    <x v="68"/>
    <m/>
    <n v="0"/>
    <n v="0"/>
    <n v="0"/>
    <n v="0"/>
    <n v="0"/>
    <n v="0"/>
    <n v="0"/>
    <n v="0"/>
    <n v="0"/>
    <n v="0"/>
    <n v="109.72"/>
    <n v="0"/>
    <n v="0"/>
    <n v="0"/>
    <n v="0"/>
    <n v="0"/>
    <n v="0"/>
    <n v="0"/>
    <n v="109.72"/>
    <m/>
    <n v="0"/>
  </r>
  <r>
    <d v="2024-03-26T00:00:00"/>
    <x v="2"/>
    <x v="1"/>
    <x v="0"/>
    <x v="3"/>
    <x v="69"/>
    <s v="E- Fira Alimentaria-noa"/>
    <n v="84.091979678347627"/>
    <n v="82.06688395448397"/>
    <n v="61.370982881031814"/>
    <n v="0"/>
    <n v="0"/>
    <n v="0"/>
    <n v="0"/>
    <n v="0"/>
    <n v="0"/>
    <n v="0"/>
    <n v="109.72"/>
    <n v="0"/>
    <n v="0"/>
    <n v="0"/>
    <n v="0"/>
    <n v="0"/>
    <n v="0"/>
    <n v="0"/>
    <n v="337.24984651386342"/>
    <n v="4445"/>
    <n v="1.3361676721190624E-2"/>
  </r>
  <r>
    <d v="2024-03-01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02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04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06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07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08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09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11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13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14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15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16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18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20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21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22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23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25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2"/>
    <n v="104"/>
    <n v="208"/>
    <n v="199.0368"/>
    <m/>
    <m/>
  </r>
  <r>
    <d v="2024-03-27T00:00:00"/>
    <x v="2"/>
    <x v="3"/>
    <x v="2"/>
    <x v="8"/>
    <x v="28"/>
    <m/>
    <n v="0"/>
    <n v="0"/>
    <n v="0"/>
    <n v="0"/>
    <n v="1"/>
    <n v="4"/>
    <n v="0"/>
    <n v="0"/>
    <n v="4"/>
    <n v="0"/>
    <n v="0"/>
    <n v="0"/>
    <n v="0"/>
    <n v="0"/>
    <n v="0"/>
    <n v="1"/>
    <n v="104"/>
    <n v="104"/>
    <n v="99.5184"/>
    <m/>
    <m/>
  </r>
  <r>
    <d v="2024-03-28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1"/>
    <n v="104"/>
    <n v="104"/>
    <n v="171.51839999999999"/>
    <m/>
    <m/>
  </r>
  <r>
    <d v="2024-03-30T00:00:00"/>
    <x v="2"/>
    <x v="3"/>
    <x v="2"/>
    <x v="8"/>
    <x v="28"/>
    <m/>
    <n v="0"/>
    <n v="0"/>
    <n v="0"/>
    <n v="0"/>
    <n v="2"/>
    <n v="4"/>
    <n v="0"/>
    <n v="0"/>
    <n v="8"/>
    <n v="0"/>
    <n v="0"/>
    <n v="0"/>
    <n v="0"/>
    <n v="0"/>
    <n v="0"/>
    <n v="1"/>
    <n v="104"/>
    <n v="104"/>
    <n v="171.51839999999999"/>
    <m/>
    <m/>
  </r>
  <r>
    <d v="2024-03-05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07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12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14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19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21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22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4-26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3-28T00:00:00"/>
    <x v="2"/>
    <x v="4"/>
    <x v="2"/>
    <x v="8"/>
    <x v="29"/>
    <m/>
    <n v="75.53"/>
    <n v="73.72"/>
    <n v="0"/>
    <n v="0"/>
    <n v="2"/>
    <n v="5"/>
    <n v="0"/>
    <n v="0"/>
    <n v="10"/>
    <n v="0"/>
    <n v="118.91"/>
    <n v="0"/>
    <n v="0"/>
    <n v="0"/>
    <n v="0"/>
    <n v="2"/>
    <n v="150"/>
    <n v="300"/>
    <n v="527.54"/>
    <m/>
    <m/>
  </r>
  <r>
    <d v="2024-04-01T00:00:00"/>
    <x v="3"/>
    <x v="1"/>
    <x v="0"/>
    <x v="1"/>
    <x v="3"/>
    <s v="E - Aj. StSadurni dinar gent gran 300 CO"/>
    <n v="175.19029189704941"/>
    <n v="240.97507176148653"/>
    <n v="148.06083176320183"/>
    <n v="0"/>
    <n v="2"/>
    <n v="11"/>
    <n v="2"/>
    <n v="3"/>
    <n v="28"/>
    <n v="0"/>
    <n v="59.66"/>
    <n v="0"/>
    <n v="20"/>
    <n v="2"/>
    <n v="20"/>
    <n v="1"/>
    <n v="20"/>
    <n v="60"/>
    <n v="1143.7621954217379"/>
    <n v="11500"/>
    <n v="3.082192698687522E-2"/>
  </r>
  <r>
    <d v="2024-04-02T00:00:00"/>
    <x v="3"/>
    <x v="1"/>
    <x v="0"/>
    <x v="2"/>
    <x v="70"/>
    <s v="E - Cutt Events 100 coffee + Gastrovan cristina"/>
    <n v="60.935753703321524"/>
    <n v="83.817416264864875"/>
    <n v="51.499419743722378"/>
    <n v="0"/>
    <n v="1"/>
    <n v="9.8000000000000007"/>
    <n v="0"/>
    <n v="0"/>
    <n v="9.8000000000000007"/>
    <n v="0"/>
    <n v="59.66"/>
    <n v="0"/>
    <n v="105"/>
    <n v="1"/>
    <n v="105"/>
    <n v="1"/>
    <n v="105"/>
    <n v="210"/>
    <n v="487.87858971190883"/>
    <n v="4000"/>
    <n v="1.0720670256304424E-2"/>
  </r>
  <r>
    <d v="2024-04-03T00:00:00"/>
    <x v="3"/>
    <x v="1"/>
    <x v="0"/>
    <x v="1"/>
    <x v="40"/>
    <s v="E-Cutt Events 120 Gala Dinner cristina"/>
    <n v="167.57332268413421"/>
    <n v="230.49789472837841"/>
    <n v="141.62340429523653"/>
    <n v="0"/>
    <n v="2"/>
    <n v="13"/>
    <n v="0"/>
    <n v="0"/>
    <n v="26"/>
    <n v="0"/>
    <n v="59.66"/>
    <n v="1"/>
    <n v="115"/>
    <n v="1"/>
    <n v="115"/>
    <n v="2"/>
    <n v="115"/>
    <n v="460"/>
    <n v="1189.0706217077493"/>
    <n v="11000"/>
    <n v="2.9481843204837165E-2"/>
  </r>
  <r>
    <d v="2024-04-05T00:00:00"/>
    <x v="3"/>
    <x v="1"/>
    <x v="0"/>
    <x v="1"/>
    <x v="3"/>
    <s v="E- HAOSHI cena gala x 200 MM"/>
    <n v="261.26204400299105"/>
    <n v="359.36717223560817"/>
    <n v="220.8037621512097"/>
    <n v="0"/>
    <n v="2"/>
    <n v="11.15"/>
    <n v="1"/>
    <n v="3"/>
    <n v="25.3"/>
    <n v="0"/>
    <n v="59.66"/>
    <n v="2"/>
    <n v="20"/>
    <n v="2"/>
    <n v="20"/>
    <n v="1"/>
    <n v="20"/>
    <n v="100"/>
    <n v="1382.952978389809"/>
    <n v="17150"/>
    <n v="4.5964873723905217E-2"/>
  </r>
  <r>
    <d v="2024-04-05T00:00:00"/>
    <x v="3"/>
    <x v="1"/>
    <x v="0"/>
    <x v="1"/>
    <x v="71"/>
    <s v="E- Love Gracefully x 25 MM"/>
    <n v="69.314419837528249"/>
    <n v="95.342311001283804"/>
    <n v="58.580589958484211"/>
    <n v="0"/>
    <n v="2"/>
    <n v="15.95"/>
    <n v="0"/>
    <n v="0"/>
    <n v="31.9"/>
    <n v="0"/>
    <n v="59.66"/>
    <n v="0"/>
    <n v="240"/>
    <n v="1"/>
    <n v="240"/>
    <n v="2"/>
    <n v="240"/>
    <n v="720"/>
    <n v="1047.6093207972963"/>
    <n v="4550"/>
    <n v="1.2194762416546283E-2"/>
  </r>
  <r>
    <d v="2024-04-05T00:00:00"/>
    <x v="3"/>
    <x v="1"/>
    <x v="0"/>
    <x v="2"/>
    <x v="1"/>
    <s v="E - Grifols coffee 500 cristina"/>
    <n v="152.33938425830382"/>
    <n v="209.5435406621622"/>
    <n v="128.74854935930594"/>
    <n v="0"/>
    <n v="2"/>
    <n v="10.3"/>
    <n v="0"/>
    <n v="0"/>
    <n v="20.6"/>
    <n v="0"/>
    <n v="59.66"/>
    <n v="0"/>
    <n v="123"/>
    <n v="2"/>
    <n v="123"/>
    <n v="1"/>
    <n v="123"/>
    <n v="369"/>
    <n v="1018.728874279772"/>
    <n v="10000"/>
    <n v="2.6801675640761059E-2"/>
  </r>
  <r>
    <d v="2024-04-05T00:00:00"/>
    <x v="3"/>
    <x v="1"/>
    <x v="0"/>
    <x v="5"/>
    <x v="72"/>
    <s v="E - Ajuntament act paelles cristina"/>
    <n v="12.187150740664306"/>
    <n v="16.763483252972975"/>
    <n v="10.299883948744474"/>
    <n v="0"/>
    <n v="0"/>
    <n v="0"/>
    <n v="0"/>
    <n v="0"/>
    <n v="0"/>
    <n v="0"/>
    <n v="59.66"/>
    <n v="0"/>
    <n v="47"/>
    <n v="0"/>
    <n v="47"/>
    <n v="1"/>
    <n v="47"/>
    <n v="47"/>
    <n v="111.34671794238176"/>
    <n v="800"/>
    <n v="2.1441340512608847E-3"/>
  </r>
  <r>
    <d v="2024-04-05T00:00:00"/>
    <x v="3"/>
    <x v="1"/>
    <x v="0"/>
    <x v="12"/>
    <x v="73"/>
    <s v="E-NEU NIELLS PARAD 47 PAX AFV "/>
    <n v="71.416703340292827"/>
    <n v="98.234011862421639"/>
    <n v="60.357319939642629"/>
    <n v="0"/>
    <n v="2"/>
    <n v="10.45"/>
    <n v="0"/>
    <n v="0"/>
    <n v="20.9"/>
    <n v="0"/>
    <n v="59.66"/>
    <n v="0"/>
    <n v="73"/>
    <n v="1"/>
    <n v="73"/>
    <n v="1"/>
    <n v="73"/>
    <n v="146"/>
    <n v="704.49963514235696"/>
    <n v="4688"/>
    <n v="1.2564625540388785E-2"/>
  </r>
  <r>
    <d v="2024-04-08T00:00:00"/>
    <x v="3"/>
    <x v="1"/>
    <x v="0"/>
    <x v="1"/>
    <x v="74"/>
    <s v="E-Borges dinar x57 MM"/>
    <n v="83.786661342067106"/>
    <n v="115.24894736418921"/>
    <n v="70.811702147618263"/>
    <n v="0"/>
    <n v="2"/>
    <n v="11.5"/>
    <n v="0"/>
    <n v="0"/>
    <n v="23"/>
    <n v="0"/>
    <n v="59.66"/>
    <n v="0"/>
    <n v="144"/>
    <n v="1"/>
    <n v="144"/>
    <n v="2"/>
    <n v="144"/>
    <n v="432"/>
    <n v="857.81451085387448"/>
    <n v="5500"/>
    <n v="1.4740921602418583E-2"/>
  </r>
  <r>
    <d v="2024-04-08T00:00:00"/>
    <x v="3"/>
    <x v="1"/>
    <x v="0"/>
    <x v="1"/>
    <x v="46"/>
    <s v="E - Sulicatta gala 50 cristina"/>
    <n v="51.795390647823304"/>
    <n v="71.244803825135151"/>
    <n v="43.774506782164025"/>
    <n v="0"/>
    <n v="1"/>
    <n v="11.5"/>
    <n v="0"/>
    <n v="0"/>
    <n v="11.5"/>
    <n v="0"/>
    <n v="59.66"/>
    <n v="0"/>
    <n v="125"/>
    <n v="1"/>
    <n v="125"/>
    <n v="1"/>
    <n v="125"/>
    <n v="250"/>
    <n v="499.62470125512243"/>
    <n v="3400"/>
    <n v="9.1125697178587612E-3"/>
  </r>
  <r>
    <d v="2024-04-09T00:00:00"/>
    <x v="3"/>
    <x v="1"/>
    <x v="1"/>
    <x v="1"/>
    <x v="75"/>
    <s v="E- JOSEP MASACHS cata+dinarx9MM"/>
    <n v="16.757332268413421"/>
    <n v="23.049789472837844"/>
    <n v="14.162340429523654"/>
    <n v="0"/>
    <n v="0"/>
    <n v="0"/>
    <n v="1"/>
    <n v="3"/>
    <n v="3"/>
    <n v="0"/>
    <n v="59.66"/>
    <n v="1"/>
    <n v="54"/>
    <n v="1"/>
    <n v="54"/>
    <n v="0"/>
    <n v="54"/>
    <n v="108"/>
    <n v="196.20626217077492"/>
    <n v="1100"/>
    <n v="2.9481843204837168E-3"/>
  </r>
  <r>
    <d v="2024-04-09T00:00:00"/>
    <x v="3"/>
    <x v="1"/>
    <x v="0"/>
    <x v="1"/>
    <x v="76"/>
    <s v="E-Grupo Pacifico 350 cristina"/>
    <n v="380.84846064575953"/>
    <n v="523.85885165540549"/>
    <n v="321.87137339826484"/>
    <n v="0"/>
    <n v="4"/>
    <n v="11.45"/>
    <n v="6"/>
    <n v="4"/>
    <n v="69.8"/>
    <n v="0"/>
    <n v="59.66"/>
    <n v="4"/>
    <n v="113"/>
    <n v="2"/>
    <n v="113"/>
    <n v="5"/>
    <n v="113"/>
    <n v="1243"/>
    <n v="2871.5364856994297"/>
    <n v="25000"/>
    <n v="6.7004189101902645E-2"/>
  </r>
  <r>
    <d v="2024-04-09T00:00:00"/>
    <x v="3"/>
    <x v="1"/>
    <x v="0"/>
    <x v="3"/>
    <x v="40"/>
    <s v="E-GENCAT ACC CLIMAT COCKTAIL DINNER 150-200 AFV "/>
    <n v="157.67126270734445"/>
    <n v="216.87756458533789"/>
    <n v="133.25474858688165"/>
    <n v="0"/>
    <n v="2"/>
    <n v="10.95"/>
    <n v="0"/>
    <n v="0"/>
    <n v="21.9"/>
    <n v="0"/>
    <n v="59.66"/>
    <n v="0"/>
    <n v="115"/>
    <n v="1"/>
    <n v="115"/>
    <n v="2"/>
    <n v="115"/>
    <n v="345"/>
    <n v="1052.950575879564"/>
    <n v="10350"/>
    <n v="2.7739734288187698E-2"/>
  </r>
  <r>
    <d v="2024-04-09T00:00:00"/>
    <x v="3"/>
    <x v="1"/>
    <x v="0"/>
    <x v="2"/>
    <x v="77"/>
    <s v="E Grifols coffee 150 cristina"/>
    <n v="45.701815277491143"/>
    <n v="62.863062198648656"/>
    <n v="38.624564807791785"/>
    <n v="0"/>
    <n v="1"/>
    <n v="8.9"/>
    <n v="0"/>
    <n v="0"/>
    <n v="8.9"/>
    <n v="0"/>
    <n v="59.66"/>
    <n v="0"/>
    <n v="123"/>
    <n v="0"/>
    <n v="123"/>
    <n v="1"/>
    <n v="123"/>
    <n v="123"/>
    <n v="399.59524228393161"/>
    <n v="3000"/>
    <n v="8.0405026922283178E-3"/>
  </r>
  <r>
    <d v="2024-04-09T00:00:00"/>
    <x v="3"/>
    <x v="1"/>
    <x v="0"/>
    <x v="13"/>
    <x v="78"/>
    <s v="E- GENCAT copa cava x 80-90MM"/>
    <n v="44.940118356199626"/>
    <n v="61.815344495337854"/>
    <n v="37.980822060995251"/>
    <n v="0"/>
    <n v="1"/>
    <n v="8"/>
    <n v="0"/>
    <n v="0"/>
    <n v="8"/>
    <n v="0"/>
    <n v="59.66"/>
    <n v="0"/>
    <n v="34"/>
    <n v="1"/>
    <n v="34"/>
    <n v="1"/>
    <n v="34"/>
    <n v="68"/>
    <n v="366.38908491253267"/>
    <n v="2950"/>
    <n v="7.906494314024513E-3"/>
  </r>
  <r>
    <d v="2024-04-09T00:00:00"/>
    <x v="3"/>
    <x v="1"/>
    <x v="1"/>
    <x v="1"/>
    <x v="11"/>
    <s v="E 360 Events 100 p MG"/>
    <n v="170.62011036930028"/>
    <n v="234.68876554162168"/>
    <n v="144.19837528242266"/>
    <n v="0"/>
    <n v="0"/>
    <n v="0"/>
    <n v="1"/>
    <n v="3"/>
    <n v="3"/>
    <n v="0"/>
    <n v="59.66"/>
    <n v="0"/>
    <n v="97"/>
    <n v="0"/>
    <n v="97"/>
    <n v="1"/>
    <n v="97"/>
    <n v="97"/>
    <n v="688.83345119334456"/>
    <n v="11200"/>
    <n v="3.0017876717652388E-2"/>
  </r>
  <r>
    <d v="2024-04-10T00:00:00"/>
    <x v="3"/>
    <x v="1"/>
    <x v="0"/>
    <x v="1"/>
    <x v="79"/>
    <s v="E- BCDME ref. Lab Esteve x 105 MM"/>
    <n v="112.73114435114482"/>
    <n v="155.06222009000001"/>
    <n v="95.273926525886395"/>
    <n v="0"/>
    <n v="2"/>
    <n v="10.3"/>
    <n v="0"/>
    <n v="0"/>
    <n v="20.6"/>
    <n v="0"/>
    <n v="59.66"/>
    <n v="0"/>
    <n v="115"/>
    <n v="1"/>
    <n v="115"/>
    <n v="2"/>
    <n v="115"/>
    <n v="345"/>
    <n v="884.81429096703118"/>
    <n v="7400"/>
    <n v="1.9833239974163183E-2"/>
  </r>
  <r>
    <d v="2024-04-11T00:00:00"/>
    <x v="3"/>
    <x v="1"/>
    <x v="0"/>
    <x v="3"/>
    <x v="1"/>
    <s v="E - Grifols afterworks 140 cristina"/>
    <n v="67.638686610686904"/>
    <n v="93.037332054000018"/>
    <n v="57.164355915531843"/>
    <n v="0"/>
    <n v="1"/>
    <n v="7.3"/>
    <n v="0"/>
    <n v="0"/>
    <n v="7.3"/>
    <n v="0"/>
    <n v="59.66"/>
    <n v="1"/>
    <n v="123"/>
    <n v="1"/>
    <n v="123"/>
    <n v="0"/>
    <n v="123"/>
    <n v="246"/>
    <n v="473.99197458021865"/>
    <n v="4440"/>
    <n v="1.1899943984497912E-2"/>
  </r>
  <r>
    <d v="2024-04-12T00:00:00"/>
    <x v="3"/>
    <x v="1"/>
    <x v="0"/>
    <x v="1"/>
    <x v="80"/>
    <s v="E- FM els casots sopar x 100 MM"/>
    <n v="24.374301481328612"/>
    <n v="33.52696650594595"/>
    <n v="20.599767897488949"/>
    <n v="0"/>
    <n v="0"/>
    <n v="0"/>
    <n v="1"/>
    <n v="4"/>
    <n v="4"/>
    <n v="0"/>
    <n v="59.66"/>
    <n v="0"/>
    <n v="26"/>
    <n v="2"/>
    <n v="26"/>
    <n v="0"/>
    <n v="26"/>
    <n v="52"/>
    <n v="223.92023588476351"/>
    <n v="1600"/>
    <n v="4.2882681025217693E-3"/>
  </r>
  <r>
    <d v="2024-04-13T00:00:00"/>
    <x v="3"/>
    <x v="1"/>
    <x v="0"/>
    <x v="3"/>
    <x v="81"/>
    <s v="E-Escola Agrària de Viticultura i Enologia x 150 MM"/>
    <n v="35.799755300701399"/>
    <n v="49.242732055608116"/>
    <n v="30.255909099436895"/>
    <n v="0"/>
    <n v="0"/>
    <n v="0"/>
    <n v="0"/>
    <n v="0"/>
    <n v="0"/>
    <n v="0"/>
    <n v="59.66"/>
    <n v="0"/>
    <n v="25"/>
    <n v="1"/>
    <n v="25"/>
    <n v="0"/>
    <n v="25"/>
    <n v="25"/>
    <n v="181.5733964557464"/>
    <n v="2350"/>
    <n v="6.2983937755788488E-3"/>
  </r>
  <r>
    <d v="2024-04-15T00:00:00"/>
    <x v="3"/>
    <x v="1"/>
    <x v="0"/>
    <x v="3"/>
    <x v="82"/>
    <s v="E-ENP MEDIA 80 PAX CENA COCKTAIL NOA"/>
    <n v="118.21536218444378"/>
    <n v="162.60578755383787"/>
    <n v="99.908874302821417"/>
    <n v="0"/>
    <n v="2"/>
    <n v="10.7"/>
    <n v="0"/>
    <n v="0"/>
    <n v="21.4"/>
    <n v="0"/>
    <n v="59.66"/>
    <n v="0"/>
    <n v="116"/>
    <n v="1"/>
    <n v="116"/>
    <n v="2"/>
    <n v="116"/>
    <n v="348"/>
    <n v="917.67082404110306"/>
    <n v="7760"/>
    <n v="2.0798100297230584E-2"/>
  </r>
  <r>
    <d v="2024-04-16T00:00:00"/>
    <x v="3"/>
    <x v="1"/>
    <x v="1"/>
    <x v="1"/>
    <x v="13"/>
    <s v="E-NORSK HYDRO ASA_130 pax_cena banquete noa"/>
    <n v="193.51671982332337"/>
    <n v="266.18315970314467"/>
    <n v="163.54928225112636"/>
    <n v="0"/>
    <n v="2"/>
    <n v="11.15"/>
    <n v="0"/>
    <n v="0"/>
    <n v="22.3"/>
    <n v="0"/>
    <n v="59.66"/>
    <n v="1"/>
    <n v="80"/>
    <n v="1"/>
    <n v="80"/>
    <n v="0"/>
    <n v="80"/>
    <n v="160"/>
    <n v="1126.6451617775947"/>
    <n v="12703"/>
    <n v="3.4046168566458777E-2"/>
  </r>
  <r>
    <d v="2024-04-17T00:00:00"/>
    <x v="3"/>
    <x v="1"/>
    <x v="0"/>
    <x v="3"/>
    <x v="83"/>
    <s v="E-IPGHEALTH 40 SOPAR CCTEL-LAIA"/>
    <n v="48.748602962657223"/>
    <n v="67.0539330118919"/>
    <n v="41.199535794977898"/>
    <n v="0"/>
    <n v="1"/>
    <n v="9.9499999999999993"/>
    <n v="0"/>
    <n v="0"/>
    <n v="9.9499999999999993"/>
    <n v="0"/>
    <n v="59.66"/>
    <n v="0"/>
    <n v="123"/>
    <n v="1"/>
    <n v="123"/>
    <n v="1"/>
    <n v="123"/>
    <n v="246"/>
    <n v="460.85367176952707"/>
    <n v="3200"/>
    <n v="8.5765362050435386E-3"/>
  </r>
  <r>
    <d v="2024-04-18T00:00:00"/>
    <x v="3"/>
    <x v="1"/>
    <x v="0"/>
    <x v="1"/>
    <x v="42"/>
    <s v="E - ActosServeis sopar 160 gala cristina"/>
    <n v="243.74301481328609"/>
    <n v="335.2696650594595"/>
    <n v="205.99767897488951"/>
    <n v="0"/>
    <n v="2"/>
    <n v="12"/>
    <n v="2"/>
    <n v="4"/>
    <n v="32"/>
    <n v="0"/>
    <n v="59.66"/>
    <n v="1"/>
    <n v="120"/>
    <n v="1"/>
    <n v="120"/>
    <n v="2"/>
    <n v="120"/>
    <n v="480"/>
    <n v="1547.6783588476353"/>
    <n v="16000"/>
    <n v="4.2882681025217695E-2"/>
  </r>
  <r>
    <d v="2024-04-18T00:00:00"/>
    <x v="3"/>
    <x v="1"/>
    <x v="0"/>
    <x v="3"/>
    <x v="84"/>
    <s v="E - Esade 50 cocktail dinner"/>
    <n v="91.403630554982286"/>
    <n v="125.72612439729731"/>
    <n v="77.24912961558357"/>
    <n v="0"/>
    <n v="1"/>
    <n v="9.5"/>
    <n v="0"/>
    <n v="0"/>
    <n v="9.5"/>
    <n v="0"/>
    <n v="59.66"/>
    <n v="0"/>
    <n v="116"/>
    <n v="1"/>
    <n v="116"/>
    <n v="1"/>
    <n v="116"/>
    <n v="232"/>
    <n v="586.42608456786309"/>
    <n v="6000"/>
    <n v="1.6081005384456636E-2"/>
  </r>
  <r>
    <d v="2024-04-18T00:00:00"/>
    <x v="3"/>
    <x v="1"/>
    <x v="0"/>
    <x v="1"/>
    <x v="85"/>
    <s v="E - Liberty 40 sopar cristina"/>
    <n v="76.169692129151912"/>
    <n v="104.7717703310811"/>
    <n v="64.37427467965297"/>
    <n v="0"/>
    <n v="1"/>
    <n v="9.5"/>
    <n v="0"/>
    <n v="0"/>
    <n v="9.5"/>
    <n v="0"/>
    <n v="59.66"/>
    <n v="0"/>
    <n v="116"/>
    <n v="1"/>
    <n v="116"/>
    <n v="1"/>
    <n v="116"/>
    <n v="232"/>
    <n v="537.36293713988596"/>
    <n v="5000"/>
    <n v="1.340083782038053E-2"/>
  </r>
  <r>
    <d v="2024-04-19T00:00:00"/>
    <x v="3"/>
    <x v="1"/>
    <x v="0"/>
    <x v="1"/>
    <x v="86"/>
    <s v="E - Cutt coffee+lunch 60 cristina"/>
    <n v="91.403630554982286"/>
    <n v="125.72612439729731"/>
    <n v="77.24912961558357"/>
    <n v="0"/>
    <n v="2"/>
    <n v="10.45"/>
    <n v="0"/>
    <n v="0"/>
    <n v="20.9"/>
    <n v="0"/>
    <n v="59.66"/>
    <n v="0"/>
    <n v="97"/>
    <n v="1"/>
    <n v="97"/>
    <n v="1"/>
    <n v="97"/>
    <n v="194"/>
    <n v="781.57128456786313"/>
    <n v="6000"/>
    <n v="1.6081005384456636E-2"/>
  </r>
  <r>
    <d v="2024-04-19T00:00:00"/>
    <x v="3"/>
    <x v="1"/>
    <x v="0"/>
    <x v="3"/>
    <x v="37"/>
    <s v="E- J&amp;C coctel assegut x 6 MM"/>
    <n v="11.12077505085618"/>
    <n v="15.296678468337843"/>
    <n v="9.3986441032293353"/>
    <n v="0"/>
    <n v="0"/>
    <n v="0"/>
    <n v="0"/>
    <n v="0"/>
    <n v="0"/>
    <n v="0"/>
    <n v="59.66"/>
    <n v="0"/>
    <n v="24"/>
    <n v="1"/>
    <n v="24"/>
    <n v="0"/>
    <n v="24"/>
    <n v="24"/>
    <n v="101.82649762242336"/>
    <n v="730"/>
    <n v="1.9565223217755576E-3"/>
  </r>
  <r>
    <d v="2024-04-20T00:00:00"/>
    <x v="3"/>
    <x v="0"/>
    <x v="1"/>
    <x v="0"/>
    <x v="75"/>
    <s v="C - ANNA I CRISTIAN x 130"/>
    <n v="317.76654969700701"/>
    <n v="437.08938598969206"/>
    <n v="268.55814409116857"/>
    <n v="0"/>
    <n v="2"/>
    <n v="16.5"/>
    <n v="2"/>
    <n v="6"/>
    <n v="45"/>
    <n v="0"/>
    <n v="59.66"/>
    <n v="2"/>
    <n v="60"/>
    <n v="1"/>
    <n v="60"/>
    <n v="1"/>
    <n v="60"/>
    <n v="240"/>
    <n v="1956.5780797778677"/>
    <n v="20859.12"/>
    <n v="5.590593683917118E-2"/>
  </r>
  <r>
    <d v="2024-04-20T00:00:00"/>
    <x v="3"/>
    <x v="1"/>
    <x v="1"/>
    <x v="14"/>
    <x v="13"/>
    <s v="E - GRUPO AC MARCA x 60 MM"/>
    <n v="152.33938425830382"/>
    <n v="209.5435406621622"/>
    <n v="128.74854935930594"/>
    <n v="0"/>
    <n v="2"/>
    <n v="13"/>
    <n v="2"/>
    <n v="4"/>
    <n v="34"/>
    <n v="0"/>
    <n v="59.66"/>
    <n v="2"/>
    <n v="80"/>
    <n v="1"/>
    <n v="80"/>
    <n v="1"/>
    <n v="80"/>
    <n v="320"/>
    <n v="1246.9634742797723"/>
    <n v="10000"/>
    <n v="2.6801675640761059E-2"/>
  </r>
  <r>
    <d v="2024-04-20T00:00:00"/>
    <x v="3"/>
    <x v="1"/>
    <x v="1"/>
    <x v="3"/>
    <x v="11"/>
    <s v="E HD VIDEO "/>
    <n v="63.982541388487604"/>
    <n v="88.008287078108125"/>
    <n v="54.07439073090849"/>
    <n v="0"/>
    <n v="0"/>
    <n v="0"/>
    <n v="1"/>
    <n v="3"/>
    <n v="3"/>
    <m/>
    <n v="59.66"/>
    <n v="0"/>
    <n v="104"/>
    <n v="1"/>
    <n v="104"/>
    <n v="1"/>
    <n v="104"/>
    <n v="208"/>
    <n v="374.76201919750417"/>
    <n v="4200"/>
    <n v="1.1256703769119645E-2"/>
  </r>
  <r>
    <d v="2024-04-22T00:00:00"/>
    <x v="3"/>
    <x v="1"/>
    <x v="0"/>
    <x v="1"/>
    <x v="21"/>
    <s v="E-SOLEAR EVENTS BANQUET 80-LAIA"/>
    <n v="120.34811356406003"/>
    <n v="165.53939712310813"/>
    <n v="101.7113539938517"/>
    <n v="0"/>
    <n v="2"/>
    <n v="10.7"/>
    <n v="0"/>
    <n v="0"/>
    <n v="21.4"/>
    <n v="0"/>
    <n v="59.66"/>
    <n v="0"/>
    <n v="115"/>
    <n v="1"/>
    <n v="115"/>
    <n v="2"/>
    <n v="115"/>
    <n v="345"/>
    <n v="923.74586468101984"/>
    <n v="7900"/>
    <n v="2.1173323756201238E-2"/>
  </r>
  <r>
    <d v="2024-04-22T00:00:00"/>
    <x v="3"/>
    <x v="1"/>
    <x v="0"/>
    <x v="15"/>
    <x v="87"/>
    <s v="E- Pescapuerta x 150 MM"/>
    <n v="137.10544583247344"/>
    <n v="188.58918659594599"/>
    <n v="115.87369442337534"/>
    <n v="0"/>
    <n v="0"/>
    <n v="0"/>
    <n v="2"/>
    <n v="4"/>
    <n v="8"/>
    <n v="0"/>
    <n v="59.66"/>
    <n v="2"/>
    <n v="102"/>
    <n v="3"/>
    <n v="102"/>
    <n v="0"/>
    <n v="102"/>
    <n v="510"/>
    <n v="780.17432685179472"/>
    <n v="9000"/>
    <n v="2.4121508076684953E-2"/>
  </r>
  <r>
    <d v="2024-04-24T00:00:00"/>
    <x v="3"/>
    <x v="1"/>
    <x v="0"/>
    <x v="3"/>
    <x v="77"/>
    <s v="E - Grifols 25 coffee+cocktail cristina"/>
    <n v="31.991270694243802"/>
    <n v="44.004143539054063"/>
    <n v="27.037195365454245"/>
    <n v="0"/>
    <n v="1"/>
    <n v="10.7"/>
    <n v="0"/>
    <n v="0"/>
    <n v="10.7"/>
    <n v="0"/>
    <n v="59.66"/>
    <n v="0"/>
    <n v="123"/>
    <n v="1"/>
    <n v="123"/>
    <n v="1"/>
    <n v="123"/>
    <n v="246"/>
    <n v="420.38420959875202"/>
    <n v="2100"/>
    <n v="5.6283518845598223E-3"/>
  </r>
  <r>
    <d v="2024-04-25T00:00:00"/>
    <x v="3"/>
    <x v="1"/>
    <x v="1"/>
    <x v="1"/>
    <x v="56"/>
    <m/>
    <n v="0"/>
    <n v="0"/>
    <n v="0"/>
    <n v="0"/>
    <n v="0"/>
    <n v="0"/>
    <n v="2"/>
    <n v="6"/>
    <n v="12"/>
    <n v="0"/>
    <n v="59.66"/>
    <n v="0"/>
    <n v="104"/>
    <n v="1"/>
    <n v="104"/>
    <n v="1"/>
    <n v="104"/>
    <n v="208"/>
    <n v="330.69679999999994"/>
    <m/>
    <n v="0"/>
  </r>
  <r>
    <d v="2024-04-25T00:00:00"/>
    <x v="3"/>
    <x v="1"/>
    <x v="0"/>
    <x v="3"/>
    <x v="88"/>
    <s v="E-CCIBA coffee +sopar cctel 100-laia"/>
    <n v="120.34811356406003"/>
    <n v="165.53939712310813"/>
    <n v="101.7113539938517"/>
    <n v="0"/>
    <n v="1"/>
    <n v="11.35"/>
    <n v="0"/>
    <n v="0"/>
    <n v="11.35"/>
    <n v="0"/>
    <n v="59.66"/>
    <n v="0"/>
    <n v="115"/>
    <n v="1"/>
    <n v="115"/>
    <n v="1"/>
    <n v="115"/>
    <n v="230"/>
    <n v="712.41686468101989"/>
    <n v="7900"/>
    <n v="2.1173323756201238E-2"/>
  </r>
  <r>
    <d v="2024-04-25T00:00:00"/>
    <x v="3"/>
    <x v="1"/>
    <x v="0"/>
    <x v="3"/>
    <x v="89"/>
    <s v="E- LLOPART COCKTAIL 80 PAX AFV "/>
    <n v="76.169692129151912"/>
    <n v="104.7717703310811"/>
    <n v="64.37427467965297"/>
    <n v="0"/>
    <n v="1"/>
    <n v="7.55"/>
    <n v="0"/>
    <n v="0"/>
    <n v="7.55"/>
    <n v="0"/>
    <n v="59.66"/>
    <n v="0"/>
    <n v="26"/>
    <n v="1"/>
    <n v="26"/>
    <n v="1"/>
    <n v="26"/>
    <n v="52"/>
    <n v="454.63493713988601"/>
    <n v="5000"/>
    <n v="1.340083782038053E-2"/>
  </r>
  <r>
    <d v="2024-04-25T00:00:00"/>
    <x v="3"/>
    <x v="1"/>
    <x v="1"/>
    <x v="3"/>
    <x v="11"/>
    <s v="E-BECOLVE cctel 120 PAX MG "/>
    <n v="121.87150740664305"/>
    <n v="167.63483252972975"/>
    <n v="102.99883948744476"/>
    <n v="0"/>
    <n v="0"/>
    <n v="0"/>
    <n v="1"/>
    <n v="3"/>
    <n v="3"/>
    <n v="0"/>
    <n v="59.66"/>
    <n v="0"/>
    <n v="104"/>
    <n v="1"/>
    <n v="104"/>
    <n v="1"/>
    <n v="104"/>
    <n v="208"/>
    <n v="561.20197942381753"/>
    <n v="8000"/>
    <n v="2.1441340512608847E-2"/>
  </r>
  <r>
    <d v="2024-04-26T00:00:00"/>
    <x v="3"/>
    <x v="2"/>
    <x v="3"/>
    <x v="9"/>
    <x v="90"/>
    <s v="A - FERIA DE ABRIL"/>
    <n v="0"/>
    <n v="0"/>
    <n v="0"/>
    <n v="0"/>
    <n v="0"/>
    <n v="0"/>
    <n v="0"/>
    <n v="0"/>
    <n v="0"/>
    <n v="0"/>
    <n v="59.66"/>
    <n v="0"/>
    <n v="0"/>
    <n v="0"/>
    <n v="0"/>
    <n v="0"/>
    <n v="0"/>
    <n v="0"/>
    <n v="59.66"/>
    <m/>
    <n v="0"/>
  </r>
  <r>
    <d v="2024-04-26T00:00:00"/>
    <x v="3"/>
    <x v="1"/>
    <x v="1"/>
    <x v="3"/>
    <x v="11"/>
    <s v="E Festa jubilació Estibaliz 75 pax"/>
    <n v="51.795390647823304"/>
    <n v="71.244803825135151"/>
    <n v="43.774506782164025"/>
    <n v="0"/>
    <n v="1"/>
    <n v="3"/>
    <n v="0"/>
    <n v="0"/>
    <n v="3"/>
    <n v="0"/>
    <n v="59.66"/>
    <n v="0"/>
    <n v="97"/>
    <n v="0"/>
    <n v="97"/>
    <n v="1"/>
    <n v="97"/>
    <n v="97"/>
    <n v="306.14090125512246"/>
    <n v="3400"/>
    <n v="9.1125697178587612E-3"/>
  </r>
  <r>
    <d v="2024-04-27T00:00:00"/>
    <x v="3"/>
    <x v="1"/>
    <x v="0"/>
    <x v="1"/>
    <x v="3"/>
    <s v="E - RTA banquet sopar 100 cristina"/>
    <n v="152.33938425830382"/>
    <n v="209.5435406621622"/>
    <n v="128.74854935930594"/>
    <n v="0"/>
    <n v="2"/>
    <n v="12.1"/>
    <n v="0"/>
    <n v="0"/>
    <n v="24.2"/>
    <n v="0"/>
    <n v="59.66"/>
    <n v="1"/>
    <n v="20"/>
    <n v="1"/>
    <n v="20"/>
    <n v="1"/>
    <n v="20"/>
    <n v="60"/>
    <n v="1001.7674742797718"/>
    <n v="10000"/>
    <n v="2.6801675640761059E-2"/>
  </r>
  <r>
    <d v="2024-04-27T00:00:00"/>
    <x v="3"/>
    <x v="1"/>
    <x v="0"/>
    <x v="14"/>
    <x v="91"/>
    <s v="E - Talisman 250 family day cristina"/>
    <n v="213.27513796162535"/>
    <n v="293.36095692702708"/>
    <n v="180.24796910302831"/>
    <n v="0"/>
    <n v="2"/>
    <n v="10.98"/>
    <n v="0"/>
    <n v="0"/>
    <n v="21.96"/>
    <n v="0"/>
    <n v="59.66"/>
    <n v="0"/>
    <n v="61"/>
    <n v="2"/>
    <n v="61"/>
    <n v="2"/>
    <n v="61"/>
    <n v="244"/>
    <n v="1206.3864639916808"/>
    <n v="14000"/>
    <n v="3.7522345897065483E-2"/>
  </r>
  <r>
    <d v="2024-04-27T00:00:00"/>
    <x v="3"/>
    <x v="0"/>
    <x v="0"/>
    <x v="0"/>
    <x v="92"/>
    <s v="C - MARTA I JORDI x 120"/>
    <n v="285.27834793131262"/>
    <n v="392.40171142099803"/>
    <n v="241.10097095770428"/>
    <n v="0"/>
    <n v="3"/>
    <n v="14.5"/>
    <n v="2"/>
    <n v="4"/>
    <n v="51.5"/>
    <n v="0"/>
    <n v="59.66"/>
    <n v="1"/>
    <n v="101"/>
    <n v="2"/>
    <n v="101"/>
    <n v="1"/>
    <n v="101"/>
    <n v="404"/>
    <n v="2012.3394303100149"/>
    <n v="18726.5"/>
    <n v="5.0190157888671198E-2"/>
  </r>
  <r>
    <d v="2024-04-27T00:00:00"/>
    <x v="3"/>
    <x v="0"/>
    <x v="1"/>
    <x v="0"/>
    <x v="67"/>
    <s v="C MONTSE &amp; ALBERT X 140"/>
    <n v="468.52571752239948"/>
    <n v="644.45933150456563"/>
    <n v="395.97118474797043"/>
    <n v="0"/>
    <n v="2.5"/>
    <n v="19.7"/>
    <n v="1"/>
    <n v="3"/>
    <n v="52.25"/>
    <n v="0"/>
    <n v="59.66"/>
    <n v="0"/>
    <n v="32"/>
    <n v="1"/>
    <n v="32"/>
    <n v="2"/>
    <n v="32"/>
    <n v="96"/>
    <n v="2534.5178337749353"/>
    <n v="30755.39"/>
    <n v="8.2429598698510631E-2"/>
  </r>
  <r>
    <d v="2024-04-27T00:00:00"/>
    <x v="3"/>
    <x v="0"/>
    <x v="1"/>
    <x v="0"/>
    <x v="75"/>
    <s v="C- ANNA i DANIELLE x 130 "/>
    <n v="333.60786524787534"/>
    <n v="458.87919015252839"/>
    <n v="281.94631949339475"/>
    <n v="0"/>
    <n v="2"/>
    <n v="16"/>
    <n v="2"/>
    <n v="6"/>
    <n v="44"/>
    <n v="0"/>
    <n v="59.66"/>
    <n v="0"/>
    <n v="60"/>
    <n v="0"/>
    <n v="60"/>
    <n v="1"/>
    <n v="60"/>
    <n v="60"/>
    <n v="1941.9693748937982"/>
    <n v="21898.99"/>
    <n v="5.869296268402701E-2"/>
  </r>
  <r>
    <d v="2024-04-01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03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04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05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06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08T00:00:00"/>
    <x v="3"/>
    <x v="3"/>
    <x v="2"/>
    <x v="8"/>
    <x v="28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  <m/>
    <m/>
  </r>
  <r>
    <d v="2024-04-10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11T00:00:00"/>
    <x v="3"/>
    <x v="3"/>
    <x v="2"/>
    <x v="8"/>
    <x v="28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  <m/>
    <m/>
  </r>
  <r>
    <d v="2024-04-12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13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15T00:00:00"/>
    <x v="3"/>
    <x v="3"/>
    <x v="2"/>
    <x v="8"/>
    <x v="28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  <m/>
    <m/>
  </r>
  <r>
    <d v="2024-04-17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18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19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20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22T00:00:00"/>
    <x v="3"/>
    <x v="3"/>
    <x v="2"/>
    <x v="8"/>
    <x v="28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  <m/>
    <m/>
  </r>
  <r>
    <d v="2024-04-24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25T00:00:00"/>
    <x v="3"/>
    <x v="3"/>
    <x v="2"/>
    <x v="8"/>
    <x v="28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  <m/>
    <m/>
  </r>
  <r>
    <d v="2024-04-26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27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29T00:00:00"/>
    <x v="3"/>
    <x v="3"/>
    <x v="2"/>
    <x v="8"/>
    <x v="28"/>
    <m/>
    <n v="0"/>
    <n v="0"/>
    <n v="0"/>
    <n v="0"/>
    <n v="2"/>
    <n v="4"/>
    <n v="0"/>
    <n v="0"/>
    <n v="8"/>
    <n v="0"/>
    <n v="1.79"/>
    <n v="0"/>
    <n v="0"/>
    <n v="0"/>
    <n v="0"/>
    <n v="2"/>
    <n v="104"/>
    <n v="208"/>
    <n v="200.82679999999999"/>
    <m/>
    <m/>
  </r>
  <r>
    <d v="2024-04-30T00:00:00"/>
    <x v="3"/>
    <x v="3"/>
    <x v="2"/>
    <x v="8"/>
    <x v="28"/>
    <m/>
    <n v="0"/>
    <n v="0"/>
    <n v="0"/>
    <n v="0"/>
    <n v="1"/>
    <n v="4"/>
    <n v="0"/>
    <n v="0"/>
    <n v="4"/>
    <n v="0"/>
    <n v="1.79"/>
    <n v="0"/>
    <n v="0"/>
    <n v="0"/>
    <n v="0"/>
    <n v="1"/>
    <n v="104"/>
    <n v="104"/>
    <n v="101.30840000000001"/>
    <m/>
    <m/>
  </r>
  <r>
    <d v="2024-04-02T00:00:00"/>
    <x v="3"/>
    <x v="4"/>
    <x v="2"/>
    <x v="8"/>
    <x v="29"/>
    <m/>
    <n v="54.59"/>
    <n v="74.16"/>
    <n v="0"/>
    <n v="0"/>
    <n v="1"/>
    <n v="2.25"/>
    <n v="0"/>
    <n v="0"/>
    <n v="2.25"/>
    <n v="0"/>
    <n v="62.44"/>
    <n v="0"/>
    <n v="0"/>
    <n v="0"/>
    <n v="0"/>
    <n v="1"/>
    <n v="82"/>
    <n v="82"/>
    <n v="253.38720000000001"/>
    <m/>
    <m/>
  </r>
  <r>
    <d v="2024-04-03T00:00:00"/>
    <x v="3"/>
    <x v="4"/>
    <x v="2"/>
    <x v="8"/>
    <x v="29"/>
    <m/>
    <n v="54.59"/>
    <n v="74.16"/>
    <n v="0"/>
    <n v="0"/>
    <n v="2"/>
    <n v="5"/>
    <n v="0"/>
    <n v="0"/>
    <n v="10"/>
    <n v="0"/>
    <n v="62.44"/>
    <n v="0"/>
    <n v="0"/>
    <n v="0"/>
    <n v="0"/>
    <n v="2"/>
    <n v="146"/>
    <n v="292"/>
    <n v="448.45319999999998"/>
    <m/>
    <m/>
  </r>
  <r>
    <d v="2024-04-04T00:00:00"/>
    <x v="3"/>
    <x v="4"/>
    <x v="2"/>
    <x v="8"/>
    <x v="29"/>
    <m/>
    <n v="54.59"/>
    <n v="74.16"/>
    <n v="0"/>
    <n v="0"/>
    <n v="2"/>
    <n v="4.75"/>
    <n v="0"/>
    <n v="0"/>
    <n v="9.5"/>
    <n v="0"/>
    <n v="62.44"/>
    <n v="0"/>
    <n v="0"/>
    <n v="0"/>
    <n v="0"/>
    <n v="2"/>
    <n v="98"/>
    <n v="196"/>
    <n v="414.05159999999995"/>
    <m/>
    <m/>
  </r>
  <r>
    <d v="2024-04-05T00:00:00"/>
    <x v="3"/>
    <x v="4"/>
    <x v="2"/>
    <x v="8"/>
    <x v="29"/>
    <m/>
    <n v="54.59"/>
    <n v="74.16"/>
    <n v="0"/>
    <n v="0"/>
    <n v="1"/>
    <n v="4"/>
    <n v="0"/>
    <n v="0"/>
    <n v="4"/>
    <n v="0"/>
    <n v="62.44"/>
    <n v="0"/>
    <n v="0"/>
    <n v="0"/>
    <n v="0"/>
    <n v="1"/>
    <n v="90"/>
    <n v="90"/>
    <n v="287.00400000000002"/>
    <m/>
    <m/>
  </r>
  <r>
    <d v="2024-04-09T00:00:00"/>
    <x v="3"/>
    <x v="4"/>
    <x v="2"/>
    <x v="8"/>
    <x v="29"/>
    <m/>
    <n v="54.59"/>
    <n v="74.16"/>
    <n v="0"/>
    <n v="0"/>
    <n v="2"/>
    <n v="6.3"/>
    <n v="0"/>
    <n v="0"/>
    <n v="12.6"/>
    <n v="0"/>
    <n v="62.44"/>
    <n v="0"/>
    <n v="0"/>
    <n v="0"/>
    <n v="0"/>
    <n v="2"/>
    <n v="167.5"/>
    <n v="335"/>
    <n v="506.63099999999991"/>
    <m/>
    <m/>
  </r>
  <r>
    <d v="2024-04-11T00:00:00"/>
    <x v="3"/>
    <x v="4"/>
    <x v="2"/>
    <x v="8"/>
    <x v="29"/>
    <m/>
    <n v="54.59"/>
    <n v="74.16"/>
    <n v="0"/>
    <n v="0"/>
    <n v="2"/>
    <n v="3.75"/>
    <n v="0"/>
    <n v="0"/>
    <n v="7.5"/>
    <n v="0"/>
    <n v="62.44"/>
    <n v="0"/>
    <n v="0"/>
    <n v="0"/>
    <n v="0"/>
    <n v="2"/>
    <n v="79.5"/>
    <n v="159"/>
    <n v="368.26140000000004"/>
    <m/>
    <m/>
  </r>
  <r>
    <d v="2024-04-16T00:00:00"/>
    <x v="3"/>
    <x v="4"/>
    <x v="2"/>
    <x v="8"/>
    <x v="29"/>
    <m/>
    <n v="54.59"/>
    <n v="74.16"/>
    <n v="0"/>
    <n v="0"/>
    <n v="2"/>
    <n v="5.6"/>
    <n v="0"/>
    <n v="0"/>
    <n v="11.2"/>
    <n v="0"/>
    <n v="62.44"/>
    <n v="0"/>
    <n v="0"/>
    <n v="0"/>
    <n v="0"/>
    <n v="2"/>
    <n v="154"/>
    <n v="308"/>
    <n v="474.28679999999991"/>
    <m/>
    <m/>
  </r>
  <r>
    <d v="2024-04-18T00:00:00"/>
    <x v="3"/>
    <x v="4"/>
    <x v="2"/>
    <x v="8"/>
    <x v="29"/>
    <m/>
    <n v="54.59"/>
    <n v="74.16"/>
    <n v="0"/>
    <n v="0"/>
    <n v="2"/>
    <n v="3.85"/>
    <n v="0"/>
    <n v="0"/>
    <n v="7.7"/>
    <n v="0"/>
    <n v="62.44"/>
    <n v="0"/>
    <n v="0"/>
    <n v="0"/>
    <n v="0"/>
    <n v="2"/>
    <n v="139"/>
    <n v="278"/>
    <n v="403.34879999999993"/>
    <m/>
    <m/>
  </r>
  <r>
    <d v="2024-04-23T00:00:00"/>
    <x v="3"/>
    <x v="4"/>
    <x v="2"/>
    <x v="8"/>
    <x v="29"/>
    <m/>
    <n v="54.59"/>
    <n v="74.16"/>
    <n v="0"/>
    <n v="0"/>
    <n v="2"/>
    <n v="4.9000000000000004"/>
    <n v="0"/>
    <n v="0"/>
    <n v="9.8000000000000007"/>
    <n v="0"/>
    <n v="62.44"/>
    <n v="0"/>
    <n v="0"/>
    <n v="0"/>
    <n v="0"/>
    <n v="2"/>
    <n v="179.5"/>
    <n v="359"/>
    <n v="462.58139999999997"/>
    <m/>
    <m/>
  </r>
  <r>
    <d v="2024-04-25T00:00:00"/>
    <x v="3"/>
    <x v="4"/>
    <x v="2"/>
    <x v="8"/>
    <x v="29"/>
    <m/>
    <n v="54.59"/>
    <n v="74.16"/>
    <n v="0"/>
    <n v="0"/>
    <n v="2"/>
    <n v="3.125"/>
    <n v="0"/>
    <n v="0"/>
    <n v="6.25"/>
    <n v="0"/>
    <n v="62.44"/>
    <n v="0"/>
    <n v="0"/>
    <n v="0"/>
    <n v="0"/>
    <n v="2"/>
    <n v="144"/>
    <n v="288"/>
    <n v="379.89479999999998"/>
    <m/>
    <m/>
  </r>
  <r>
    <d v="2024-04-30T00:00:00"/>
    <x v="3"/>
    <x v="4"/>
    <x v="2"/>
    <x v="8"/>
    <x v="29"/>
    <m/>
    <n v="54.59"/>
    <n v="74.16"/>
    <n v="0"/>
    <n v="0"/>
    <n v="2"/>
    <n v="4.25"/>
    <n v="0"/>
    <n v="0"/>
    <n v="8.5"/>
    <n v="0"/>
    <n v="62.44"/>
    <n v="0"/>
    <n v="0"/>
    <n v="0"/>
    <n v="0"/>
    <n v="2"/>
    <n v="110"/>
    <n v="220"/>
    <n v="402.40199999999999"/>
    <m/>
    <m/>
  </r>
  <r>
    <d v="2024-05-01T00:00:00"/>
    <x v="4"/>
    <x v="1"/>
    <x v="0"/>
    <x v="10"/>
    <x v="93"/>
    <s v="E - Agora 300 dinar bbq cristina"/>
    <n v="124.07149681895682"/>
    <n v="160.53355236476187"/>
    <n v="112.77717854964656"/>
    <n v="0"/>
    <n v="3"/>
    <n v="13"/>
    <n v="0"/>
    <n v="0"/>
    <n v="39"/>
    <n v="26.54"/>
    <n v="25.8"/>
    <n v="2"/>
    <n v="100"/>
    <n v="2"/>
    <n v="100"/>
    <n v="0"/>
    <n v="100"/>
    <n v="400"/>
    <n v="1257.5622277333653"/>
    <n v="17310"/>
    <n v="1.8864107210900337E-2"/>
  </r>
  <r>
    <d v="2024-05-02T00:00:00"/>
    <x v="4"/>
    <x v="1"/>
    <x v="1"/>
    <x v="1"/>
    <x v="67"/>
    <s v="E-MEETING PONT 185 PAX AFV"/>
    <n v="172.62495259316904"/>
    <n v="223.35586800421285"/>
    <n v="156.91077805832973"/>
    <n v="0"/>
    <n v="2"/>
    <n v="12"/>
    <n v="2"/>
    <n v="3"/>
    <n v="30"/>
    <n v="26.54"/>
    <n v="25.8"/>
    <n v="0"/>
    <n v="30"/>
    <n v="0"/>
    <n v="30"/>
    <n v="1"/>
    <n v="30"/>
    <n v="30"/>
    <n v="1153.1695986557115"/>
    <n v="24084"/>
    <n v="2.6246282961717139E-2"/>
  </r>
  <r>
    <d v="2024-05-02T00:00:00"/>
    <x v="4"/>
    <x v="1"/>
    <x v="0"/>
    <x v="1"/>
    <x v="3"/>
    <s v="E-SPAINTACULAR sopar 193-laia "/>
    <n v="184.67372129060789"/>
    <n v="238.94552147187113"/>
    <n v="167.86273860956925"/>
    <n v="0"/>
    <n v="3"/>
    <n v="12.5"/>
    <n v="2"/>
    <n v="4"/>
    <n v="45.5"/>
    <n v="26.54"/>
    <n v="25.8"/>
    <n v="2"/>
    <n v="20"/>
    <n v="2"/>
    <n v="20"/>
    <n v="1"/>
    <n v="20"/>
    <n v="100"/>
    <n v="1489.2819813720482"/>
    <n v="25765"/>
    <n v="2.807820463829273E-2"/>
  </r>
  <r>
    <d v="2024-05-04T00:00:00"/>
    <x v="4"/>
    <x v="1"/>
    <x v="1"/>
    <x v="1"/>
    <x v="17"/>
    <s v="E -RTA comida X 150 cristina"/>
    <n v="62.845689434350859"/>
    <n v="81.314742179909416"/>
    <n v="57.124800781242115"/>
    <n v="0"/>
    <n v="1"/>
    <n v="7"/>
    <n v="0"/>
    <n v="0"/>
    <n v="7"/>
    <n v="26.54"/>
    <n v="25.8"/>
    <n v="0"/>
    <n v="26"/>
    <n v="0"/>
    <n v="26"/>
    <n v="0"/>
    <n v="26"/>
    <n v="0"/>
    <n v="379.62523239550239"/>
    <n v="8768"/>
    <n v="9.5551988460528103E-3"/>
  </r>
  <r>
    <d v="2024-05-04T00:00:00"/>
    <x v="4"/>
    <x v="0"/>
    <x v="1"/>
    <x v="0"/>
    <x v="75"/>
    <s v="C - ANABEL i ALEX x 100 (Sònia)"/>
    <n v="93.226863982104049"/>
    <n v="120.62431770861798"/>
    <n v="84.740354992855657"/>
    <n v="0"/>
    <n v="2"/>
    <n v="13.75"/>
    <n v="2"/>
    <n v="4"/>
    <n v="35.5"/>
    <n v="26.54"/>
    <n v="25.8"/>
    <n v="0"/>
    <n v="54"/>
    <n v="0"/>
    <n v="54"/>
    <n v="1"/>
    <n v="54"/>
    <n v="54"/>
    <n v="1004.2199366835775"/>
    <n v="13006.67"/>
    <n v="1.4174420412293534E-2"/>
  </r>
  <r>
    <d v="2024-05-04T00:00:00"/>
    <x v="4"/>
    <x v="0"/>
    <x v="0"/>
    <x v="0"/>
    <x v="18"/>
    <s v="C - IRIA i RAUL x 120 ( Ruth ) "/>
    <n v="165.10253572942003"/>
    <n v="213.62276787672485"/>
    <n v="150.07313225313885"/>
    <n v="0"/>
    <n v="4"/>
    <n v="18"/>
    <n v="0"/>
    <n v="0"/>
    <n v="72"/>
    <n v="26.54"/>
    <n v="25.8"/>
    <n v="0"/>
    <n v="66"/>
    <n v="2"/>
    <n v="66"/>
    <n v="4"/>
    <n v="66"/>
    <n v="396"/>
    <n v="1981.9200358592836"/>
    <n v="23034.5"/>
    <n v="2.5102557917358971E-2"/>
  </r>
  <r>
    <d v="2024-05-04T00:00:00"/>
    <x v="4"/>
    <x v="0"/>
    <x v="0"/>
    <x v="0"/>
    <x v="94"/>
    <s v="C-RICARDO i XIMENA x 80 (Santi ) "/>
    <n v="120.53069269252327"/>
    <n v="155.95217888884088"/>
    <n v="109.55869638884209"/>
    <n v="0"/>
    <n v="3"/>
    <n v="21.45"/>
    <n v="0"/>
    <n v="0"/>
    <n v="64.349999999999994"/>
    <n v="26.54"/>
    <n v="25.8"/>
    <n v="0"/>
    <n v="320"/>
    <n v="2"/>
    <n v="320"/>
    <n v="3"/>
    <n v="320"/>
    <n v="1600"/>
    <n v="2020.041567970206"/>
    <n v="16816"/>
    <n v="1.8325755451097634E-2"/>
  </r>
  <r>
    <d v="2024-05-06T00:00:00"/>
    <x v="4"/>
    <x v="1"/>
    <x v="0"/>
    <x v="1"/>
    <x v="30"/>
    <s v="E - RTA 120 almuerzo cristina"/>
    <n v="80.356184334911902"/>
    <n v="103.97121060435271"/>
    <n v="73.041302641252898"/>
    <n v="0"/>
    <n v="3"/>
    <n v="13.45"/>
    <n v="0"/>
    <n v="0"/>
    <n v="40.349999999999994"/>
    <n v="26.54"/>
    <n v="25.8"/>
    <n v="0"/>
    <n v="114"/>
    <n v="1"/>
    <n v="114"/>
    <n v="2"/>
    <n v="114"/>
    <n v="342"/>
    <n v="1126.5018975805174"/>
    <n v="11211"/>
    <n v="1.221753356102852E-2"/>
  </r>
  <r>
    <d v="2024-05-07T00:00:00"/>
    <x v="4"/>
    <x v="1"/>
    <x v="0"/>
    <x v="3"/>
    <x v="47"/>
    <s v="E - Werfen 40 lunch cristina"/>
    <n v="18.92251597932097"/>
    <n v="24.483453393585865"/>
    <n v="17.199985636687863"/>
    <n v="0"/>
    <n v="1"/>
    <n v="10.7"/>
    <n v="0"/>
    <n v="0"/>
    <n v="10.7"/>
    <n v="26.54"/>
    <n v="25.8"/>
    <n v="0"/>
    <n v="120"/>
    <n v="1"/>
    <n v="120"/>
    <n v="1"/>
    <n v="120"/>
    <n v="240"/>
    <n v="369.04995500959473"/>
    <n v="2640"/>
    <n v="2.8770215503626162E-3"/>
  </r>
  <r>
    <d v="2024-05-09T00:00:00"/>
    <x v="4"/>
    <x v="1"/>
    <x v="1"/>
    <x v="10"/>
    <x v="13"/>
    <s v="E-TALENTBCN 27P COFFEE +BBQ + COPAS AFV "/>
    <n v="31.559029491269026"/>
    <n v="40.833577762105513"/>
    <n v="28.686188166036615"/>
    <n v="0"/>
    <n v="1"/>
    <n v="13.95"/>
    <n v="0"/>
    <n v="0"/>
    <n v="13.95"/>
    <n v="26.54"/>
    <n v="25.8"/>
    <n v="0"/>
    <n v="74"/>
    <n v="1"/>
    <n v="74"/>
    <n v="1"/>
    <n v="74"/>
    <n v="148"/>
    <n v="443.67959541941121"/>
    <n v="4403"/>
    <n v="4.7983052599418936E-3"/>
  </r>
  <r>
    <d v="2024-05-09T00:00:00"/>
    <x v="4"/>
    <x v="1"/>
    <x v="1"/>
    <x v="1"/>
    <x v="67"/>
    <s v="E- OLIS BARGALLÓ MM/Santi 70pax"/>
    <n v="56.337490756614713"/>
    <n v="72.893918058176098"/>
    <n v="51.209048145593414"/>
    <n v="0"/>
    <n v="1"/>
    <n v="12.15"/>
    <n v="0"/>
    <n v="0"/>
    <n v="12.15"/>
    <n v="26.54"/>
    <n v="25.8"/>
    <n v="0"/>
    <n v="30"/>
    <n v="1"/>
    <n v="30"/>
    <n v="1"/>
    <n v="30"/>
    <n v="60"/>
    <n v="467.35645696038432"/>
    <n v="7860"/>
    <n v="8.5656777976705172E-3"/>
  </r>
  <r>
    <d v="2024-05-09T00:00:00"/>
    <x v="4"/>
    <x v="1"/>
    <x v="0"/>
    <x v="11"/>
    <x v="95"/>
    <s v="E - Marbet entrega Picnic 200 cristina"/>
    <n v="44.869299253995941"/>
    <n v="58.055461456002845"/>
    <n v="40.78481442638865"/>
    <n v="0"/>
    <n v="2"/>
    <n v="3.5"/>
    <n v="0"/>
    <n v="0"/>
    <n v="7"/>
    <n v="26.54"/>
    <n v="25.8"/>
    <n v="0"/>
    <n v="115"/>
    <n v="0"/>
    <n v="115"/>
    <n v="1"/>
    <n v="115"/>
    <n v="115"/>
    <n v="352.47857513638746"/>
    <n v="6260"/>
    <n v="6.8220283732083253E-3"/>
  </r>
  <r>
    <d v="2024-05-09T00:00:00"/>
    <x v="4"/>
    <x v="1"/>
    <x v="0"/>
    <x v="3"/>
    <x v="96"/>
    <s v="E-COLEGI INFERMERIA sopar CCTEL 130-LAIA"/>
    <n v="56.44500505195176"/>
    <n v="73.033028588821466"/>
    <n v="51.306775336710956"/>
    <n v="0"/>
    <n v="2"/>
    <n v="10.199999999999999"/>
    <n v="0"/>
    <n v="0"/>
    <n v="20.399999999999999"/>
    <n v="26.54"/>
    <n v="25.8"/>
    <n v="1"/>
    <n v="122"/>
    <n v="1"/>
    <n v="122"/>
    <n v="1"/>
    <n v="122"/>
    <n v="366"/>
    <n v="697.16840897748409"/>
    <n v="7875"/>
    <n v="8.5820245110248498E-3"/>
  </r>
  <r>
    <d v="2024-05-10T00:00:00"/>
    <x v="4"/>
    <x v="0"/>
    <x v="1"/>
    <x v="0"/>
    <x v="26"/>
    <s v="C - ESTER i PIERRE x 70"/>
    <n v="89.525791879421405"/>
    <n v="115.83557680168161"/>
    <n v="81.376194165825297"/>
    <n v="0"/>
    <n v="2"/>
    <n v="14.95"/>
    <n v="1"/>
    <n v="3"/>
    <n v="32.9"/>
    <n v="26.54"/>
    <n v="25.8"/>
    <n v="0"/>
    <n v="42"/>
    <n v="1"/>
    <n v="42"/>
    <n v="2"/>
    <n v="42"/>
    <n v="126"/>
    <n v="964.61716284692818"/>
    <n v="12490.31"/>
    <n v="1.3611701151783973E-2"/>
  </r>
  <r>
    <d v="2024-05-10T00:00:00"/>
    <x v="4"/>
    <x v="1"/>
    <x v="0"/>
    <x v="10"/>
    <x v="97"/>
    <s v="E- J&amp;C BBQ X 14 MM"/>
    <n v="9.1817208217841539"/>
    <n v="11.88003931711496"/>
    <n v="8.345902121438316"/>
    <n v="0"/>
    <n v="0"/>
    <n v="0"/>
    <n v="0"/>
    <n v="0"/>
    <n v="0"/>
    <n v="26.54"/>
    <n v="25.8"/>
    <n v="0"/>
    <n v="24"/>
    <n v="1"/>
    <n v="24"/>
    <n v="0"/>
    <n v="24"/>
    <n v="24"/>
    <n v="88.098062260337429"/>
    <n v="1281"/>
    <n v="1.3960093204600423E-3"/>
  </r>
  <r>
    <d v="2024-05-11T00:00:00"/>
    <x v="4"/>
    <x v="0"/>
    <x v="1"/>
    <x v="0"/>
    <x v="75"/>
    <s v="C - SANDRA i JULIÀ x 140"/>
    <n v="144.88991988225135"/>
    <n v="187.47008085574825"/>
    <n v="131.70048547450122"/>
    <n v="0"/>
    <n v="2"/>
    <n v="15.3"/>
    <n v="1"/>
    <n v="3"/>
    <n v="33.6"/>
    <n v="26.54"/>
    <n v="25.8"/>
    <n v="0"/>
    <n v="54"/>
    <n v="0"/>
    <n v="54"/>
    <n v="1"/>
    <n v="54"/>
    <n v="54"/>
    <n v="1135.4888862125008"/>
    <n v="20214.509999999998"/>
    <n v="2.2029386704553261E-2"/>
  </r>
  <r>
    <d v="2024-05-11T00:00:00"/>
    <x v="4"/>
    <x v="0"/>
    <x v="1"/>
    <x v="0"/>
    <x v="13"/>
    <s v="C - ISABEL i JOSEP x 120 (ANNA GI)"/>
    <n v="193.536124655241"/>
    <n v="250.41240251296935"/>
    <n v="175.91839097338845"/>
    <n v="0"/>
    <n v="3"/>
    <n v="14.33"/>
    <n v="2"/>
    <n v="3"/>
    <n v="48.99"/>
    <n v="26.54"/>
    <n v="25.8"/>
    <n v="1"/>
    <n v="74"/>
    <n v="0"/>
    <n v="74"/>
    <n v="0"/>
    <n v="74"/>
    <n v="74"/>
    <n v="1573.6073181415989"/>
    <n v="27001.45"/>
    <n v="2.9425664220090405E-2"/>
  </r>
  <r>
    <d v="2024-05-11T00:00:00"/>
    <x v="4"/>
    <x v="0"/>
    <x v="1"/>
    <x v="0"/>
    <x v="67"/>
    <s v="C - JOSEP I TONI x 145 (ANNA C)"/>
    <n v="176.17342607266997"/>
    <n v="227.94716469798655"/>
    <n v="160.13623142543392"/>
    <n v="0"/>
    <n v="2"/>
    <n v="16.45"/>
    <n v="1"/>
    <n v="3"/>
    <n v="35.9"/>
    <n v="26.54"/>
    <n v="25.8"/>
    <n v="0"/>
    <n v="30"/>
    <n v="0"/>
    <n v="30"/>
    <n v="1"/>
    <n v="30"/>
    <n v="30"/>
    <n v="1270.7348221960901"/>
    <n v="24579.07"/>
    <n v="2.6785800787072451E-2"/>
  </r>
  <r>
    <d v="2024-05-11T00:00:00"/>
    <x v="4"/>
    <x v="0"/>
    <x v="0"/>
    <x v="0"/>
    <x v="98"/>
    <s v="C-CARMEN i FREDERIK x100"/>
    <n v="102.22817581631263"/>
    <n v="132.27092955531"/>
    <n v="92.922270887598742"/>
    <n v="0"/>
    <n v="3"/>
    <n v="16.350000000000001"/>
    <n v="0"/>
    <n v="0"/>
    <n v="49.050000000000004"/>
    <n v="26.54"/>
    <n v="25.8"/>
    <n v="0"/>
    <n v="34"/>
    <n v="2"/>
    <n v="34"/>
    <n v="3"/>
    <n v="34"/>
    <n v="170"/>
    <n v="1307.6433762592212"/>
    <n v="14262.5"/>
    <n v="1.5542999947745006E-2"/>
  </r>
  <r>
    <d v="2024-05-11T00:00:00"/>
    <x v="4"/>
    <x v="1"/>
    <x v="0"/>
    <x v="1"/>
    <x v="97"/>
    <s v="E- J&amp;C COMIDA X 15 MM"/>
    <n v="11.05246956064884"/>
    <n v="14.300562550344472"/>
    <n v="10.046355246883595"/>
    <n v="0"/>
    <n v="0"/>
    <n v="0"/>
    <n v="0"/>
    <n v="0"/>
    <n v="0"/>
    <n v="26.54"/>
    <n v="25.8"/>
    <n v="0"/>
    <n v="24"/>
    <n v="1"/>
    <n v="24"/>
    <n v="0"/>
    <n v="24"/>
    <n v="24"/>
    <n v="94.089787357876901"/>
    <n v="1542"/>
    <n v="1.6804421328254374E-3"/>
  </r>
  <r>
    <d v="2024-05-13T00:00:00"/>
    <x v="4"/>
    <x v="1"/>
    <x v="0"/>
    <x v="12"/>
    <x v="99"/>
    <s v="E-prelude 110 sopar paradetes-laia"/>
    <n v="101.42181860128476"/>
    <n v="131.22760057546969"/>
    <n v="92.189316954217162"/>
    <n v="0"/>
    <n v="2"/>
    <n v="13.3"/>
    <n v="0"/>
    <n v="0"/>
    <n v="26.6"/>
    <n v="26.54"/>
    <n v="25.8"/>
    <n v="0"/>
    <n v="184"/>
    <n v="1"/>
    <n v="184"/>
    <n v="2"/>
    <n v="184"/>
    <n v="552"/>
    <n v="1002.0379361309714"/>
    <n v="14150"/>
    <n v="1.5420399597587509E-2"/>
  </r>
  <r>
    <d v="2024-05-14T00:00:00"/>
    <x v="4"/>
    <x v="1"/>
    <x v="0"/>
    <x v="3"/>
    <x v="21"/>
    <s v="E-NEVERENOGH coffee+cctel 30-laia"/>
    <n v="27.745855816648284"/>
    <n v="35.899790941882905"/>
    <n v="25.22013045440103"/>
    <n v="0"/>
    <n v="1"/>
    <n v="11.5"/>
    <n v="0"/>
    <n v="0"/>
    <n v="11.5"/>
    <n v="26.54"/>
    <n v="25.8"/>
    <n v="0"/>
    <n v="114"/>
    <n v="1"/>
    <n v="114"/>
    <n v="1"/>
    <n v="114"/>
    <n v="228"/>
    <n v="408.53457721293222"/>
    <n v="3871"/>
    <n v="4.2185418263082147E-3"/>
  </r>
  <r>
    <d v="2024-05-14T00:00:00"/>
    <x v="4"/>
    <x v="1"/>
    <x v="0"/>
    <x v="3"/>
    <x v="100"/>
    <s v="E- J&amp;C coctel MM"/>
    <n v="11.05246956064884"/>
    <n v="14.300562550344472"/>
    <n v="10.046355246883595"/>
    <n v="0"/>
    <n v="2"/>
    <n v="7.25"/>
    <n v="0"/>
    <n v="0"/>
    <n v="14.5"/>
    <n v="26.54"/>
    <n v="25.8"/>
    <n v="0"/>
    <n v="24"/>
    <n v="1"/>
    <n v="24"/>
    <n v="1"/>
    <n v="24"/>
    <n v="48"/>
    <n v="361.44018735787694"/>
    <n v="1542"/>
    <n v="1.6804421328254374E-3"/>
  </r>
  <r>
    <d v="2024-05-15T00:00:00"/>
    <x v="4"/>
    <x v="1"/>
    <x v="1"/>
    <x v="1"/>
    <x v="13"/>
    <s v="E - ABOUT EVENTS 170 PAX DINNER AFV "/>
    <n v="148.24071041072588"/>
    <n v="191.80559965384199"/>
    <n v="134.74625111287062"/>
    <n v="0"/>
    <n v="3"/>
    <n v="10"/>
    <n v="1"/>
    <n v="3"/>
    <n v="33"/>
    <n v="26.54"/>
    <n v="25.8"/>
    <n v="1"/>
    <n v="74"/>
    <n v="1"/>
    <n v="74"/>
    <n v="1"/>
    <n v="74"/>
    <n v="222"/>
    <n v="1179.8737611774386"/>
    <n v="20682"/>
    <n v="2.2538848372954407E-2"/>
  </r>
  <r>
    <d v="2024-05-15T00:00:00"/>
    <x v="4"/>
    <x v="1"/>
    <x v="0"/>
    <x v="1"/>
    <x v="101"/>
    <s v="E - Grifols coffee tarda + banquet sopar 70 cristina"/>
    <n v="37.680176705791794"/>
    <n v="48.753603973515489"/>
    <n v="34.25012291366216"/>
    <n v="0"/>
    <n v="2"/>
    <n v="10.45"/>
    <n v="0"/>
    <n v="0"/>
    <n v="20.9"/>
    <n v="26.54"/>
    <n v="25.8"/>
    <n v="0"/>
    <n v="82"/>
    <n v="1"/>
    <n v="82"/>
    <n v="2"/>
    <n v="82"/>
    <n v="246"/>
    <n v="614.31550359296932"/>
    <n v="5257"/>
    <n v="5.7289781402485888E-3"/>
  </r>
  <r>
    <d v="2024-05-15T00:00:00"/>
    <x v="4"/>
    <x v="1"/>
    <x v="0"/>
    <x v="3"/>
    <x v="102"/>
    <s v="E - Grifols Cocktail dinar 60 cristina"/>
    <n v="22.262626754458687"/>
    <n v="28.805153878968824"/>
    <n v="20.236043707406253"/>
    <n v="0"/>
    <n v="1"/>
    <n v="9.1"/>
    <n v="0"/>
    <n v="0"/>
    <n v="9.1"/>
    <n v="26.54"/>
    <n v="25.8"/>
    <n v="0"/>
    <n v="120"/>
    <n v="1"/>
    <n v="120"/>
    <n v="1"/>
    <n v="120"/>
    <n v="240"/>
    <n v="350.94782434083379"/>
    <n v="3106"/>
    <n v="3.3848594452372295E-3"/>
  </r>
  <r>
    <d v="2024-05-16T00:00:00"/>
    <x v="4"/>
    <x v="1"/>
    <x v="0"/>
    <x v="3"/>
    <x v="37"/>
    <s v="E - Grifols cocktail lunch 60 cristina"/>
    <n v="24.971986996952371"/>
    <n v="32.310739251232256"/>
    <n v="22.69876892356838"/>
    <n v="0"/>
    <n v="1"/>
    <n v="9.6999999999999993"/>
    <n v="0"/>
    <n v="0"/>
    <n v="9.6999999999999993"/>
    <n v="26.54"/>
    <n v="25.8"/>
    <n v="0"/>
    <n v="22"/>
    <n v="1"/>
    <n v="22"/>
    <n v="1"/>
    <n v="22"/>
    <n v="44"/>
    <n v="318.56389517175307"/>
    <n v="3484"/>
    <n v="3.7967966217664225E-3"/>
  </r>
  <r>
    <d v="2024-05-16T00:00:00"/>
    <x v="4"/>
    <x v="1"/>
    <x v="0"/>
    <x v="3"/>
    <x v="103"/>
    <s v="E- VIAJES ANDROMEDA x 650 MM"/>
    <n v="381.10233887139998"/>
    <n v="493.10046096096988"/>
    <n v="346.41031678132339"/>
    <n v="40"/>
    <n v="4"/>
    <n v="14"/>
    <n v="4"/>
    <n v="5"/>
    <n v="76"/>
    <n v="26.54"/>
    <n v="25.8"/>
    <n v="3"/>
    <n v="286"/>
    <n v="3"/>
    <n v="286"/>
    <n v="2"/>
    <n v="286"/>
    <n v="2288"/>
    <n v="3286.3579166136929"/>
    <n v="53170"/>
    <n v="5.7943649936659208E-2"/>
  </r>
  <r>
    <d v="2024-05-16T00:00:00"/>
    <x v="4"/>
    <x v="1"/>
    <x v="0"/>
    <x v="3"/>
    <x v="104"/>
    <s v="E - Talisman 100 cristina"/>
    <n v="31.408509477797157"/>
    <n v="40.638823019201993"/>
    <n v="28.549370098472053"/>
    <n v="0"/>
    <n v="1"/>
    <n v="11.05"/>
    <n v="0"/>
    <n v="0"/>
    <n v="11.05"/>
    <n v="26.54"/>
    <n v="25.8"/>
    <n v="0"/>
    <n v="102"/>
    <n v="1"/>
    <n v="102"/>
    <n v="1"/>
    <n v="102"/>
    <n v="204"/>
    <n v="405.81510259547122"/>
    <n v="4382"/>
    <n v="4.7754198612458276E-3"/>
  </r>
  <r>
    <d v="2024-05-16T00:00:00"/>
    <x v="4"/>
    <x v="1"/>
    <x v="0"/>
    <x v="1"/>
    <x v="105"/>
    <s v="E- UEA x 400 MM"/>
    <n v="268.96492883485581"/>
    <n v="348.00817749784454"/>
    <n v="244.48085644572427"/>
    <n v="40"/>
    <n v="5"/>
    <n v="12.55"/>
    <n v="4"/>
    <n v="7"/>
    <n v="90.75"/>
    <n v="26.54"/>
    <n v="25.8"/>
    <n v="9"/>
    <n v="46"/>
    <n v="1"/>
    <n v="46"/>
    <n v="5"/>
    <n v="46"/>
    <n v="690"/>
    <n v="2769.867962778425"/>
    <n v="37525"/>
    <n v="4.0894027908089839E-2"/>
  </r>
  <r>
    <d v="2024-05-16T00:00:00"/>
    <x v="4"/>
    <x v="1"/>
    <x v="0"/>
    <x v="3"/>
    <x v="100"/>
    <s v="E- J&amp;C coctel MM"/>
    <n v="24.971986996952371"/>
    <n v="32.310739251232256"/>
    <n v="22.69876892356838"/>
    <n v="0"/>
    <n v="1"/>
    <n v="7.15"/>
    <n v="0"/>
    <n v="0"/>
    <n v="7.15"/>
    <n v="26.54"/>
    <n v="25.8"/>
    <n v="20"/>
    <n v="24"/>
    <n v="20"/>
    <n v="24"/>
    <n v="20"/>
    <n v="24"/>
    <n v="1440"/>
    <n v="642.04549517175303"/>
    <n v="3484"/>
    <n v="3.7967966217664225E-3"/>
  </r>
  <r>
    <d v="2024-05-18T00:00:00"/>
    <x v="4"/>
    <x v="1"/>
    <x v="0"/>
    <x v="11"/>
    <x v="106"/>
    <s v="E-ELI VENDRELL BLAYET 65 PAX AFV "/>
    <n v="7.4113187585673801"/>
    <n v="9.5893525791544629"/>
    <n v="6.7366610410360801"/>
    <n v="0"/>
    <n v="0"/>
    <n v="0"/>
    <n v="1"/>
    <n v="3"/>
    <n v="3"/>
    <n v="26.54"/>
    <n v="25.8"/>
    <n v="0"/>
    <n v="76"/>
    <n v="0"/>
    <n v="76"/>
    <n v="1"/>
    <n v="76"/>
    <n v="76"/>
    <n v="150.18693237875792"/>
    <n v="1034"/>
    <n v="1.1268334405586914E-3"/>
  </r>
  <r>
    <d v="2024-05-18T00:00:00"/>
    <x v="4"/>
    <x v="0"/>
    <x v="1"/>
    <x v="0"/>
    <x v="17"/>
    <s v="C - MONICA I ALBERT x 150 (Anna C)"/>
    <n v="100.3869576705672"/>
    <n v="129.88861534783109"/>
    <n v="91.248660163980418"/>
    <n v="0"/>
    <n v="0"/>
    <n v="0"/>
    <n v="1"/>
    <n v="1"/>
    <n v="1"/>
    <n v="26.54"/>
    <n v="25.8"/>
    <n v="0"/>
    <n v="26"/>
    <n v="1"/>
    <n v="26"/>
    <n v="1"/>
    <n v="26"/>
    <n v="52"/>
    <n v="405.62343318237868"/>
    <n v="14005.62"/>
    <n v="1.5263057032647602E-2"/>
  </r>
  <r>
    <d v="2024-05-18T00:00:00"/>
    <x v="4"/>
    <x v="0"/>
    <x v="0"/>
    <x v="0"/>
    <x v="107"/>
    <s v="C - MÒNICA I JUAN CARLOS x 80 (Anna C)"/>
    <n v="119.01273419475791"/>
    <n v="153.98812367683573"/>
    <n v="108.17891875318386"/>
    <n v="0"/>
    <n v="2"/>
    <n v="12"/>
    <n v="3"/>
    <n v="2"/>
    <n v="30"/>
    <n v="26.54"/>
    <n v="25.8"/>
    <n v="1"/>
    <n v="42"/>
    <n v="0"/>
    <n v="42"/>
    <n v="3"/>
    <n v="42"/>
    <n v="168"/>
    <n v="1017.9725766247775"/>
    <n v="16604.22"/>
    <n v="1.809496165415226E-2"/>
  </r>
  <r>
    <d v="2024-05-18T00:00:00"/>
    <x v="4"/>
    <x v="0"/>
    <x v="1"/>
    <x v="0"/>
    <x v="13"/>
    <s v="C - ALBERT &amp; CRISTINA x 90"/>
    <n v="127.57015534161825"/>
    <n v="165.06039451266989"/>
    <n v="115.95735165153296"/>
    <n v="0"/>
    <n v="2"/>
    <n v="12.75"/>
    <n v="2"/>
    <n v="4"/>
    <n v="33.5"/>
    <n v="26.54"/>
    <n v="25.8"/>
    <n v="0"/>
    <n v="74"/>
    <n v="0"/>
    <n v="74"/>
    <n v="2"/>
    <n v="74"/>
    <n v="148"/>
    <n v="1103.0887015058211"/>
    <n v="17798.12"/>
    <n v="1.939605105906814E-2"/>
  </r>
  <r>
    <d v="2024-05-18T00:00:00"/>
    <x v="4"/>
    <x v="1"/>
    <x v="0"/>
    <x v="3"/>
    <x v="108"/>
    <s v="E-BACUS 70 dinar cctel-laia"/>
    <n v="42.984215275752973"/>
    <n v="55.616390152020614"/>
    <n v="39.071331008794367"/>
    <n v="0"/>
    <n v="3"/>
    <n v="11.22"/>
    <n v="0"/>
    <n v="0"/>
    <n v="33.660000000000004"/>
    <n v="26.54"/>
    <n v="25.8"/>
    <n v="1"/>
    <n v="132"/>
    <n v="1"/>
    <n v="132"/>
    <n v="0"/>
    <n v="132"/>
    <n v="264"/>
    <n v="865.74633643656784"/>
    <n v="5997"/>
    <n v="6.5354159990623521E-3"/>
  </r>
  <r>
    <d v="2024-05-18T00:00:00"/>
    <x v="4"/>
    <x v="0"/>
    <x v="1"/>
    <x v="0"/>
    <x v="67"/>
    <s v="C - JORDI I LAIA x 150 "/>
    <n v="207.61634012497498"/>
    <n v="268.63050308699508"/>
    <n v="188.71687422506361"/>
    <n v="0"/>
    <n v="3"/>
    <n v="13.1"/>
    <n v="2"/>
    <n v="3"/>
    <n v="45.3"/>
    <n v="26.54"/>
    <n v="25.8"/>
    <n v="0"/>
    <n v="30"/>
    <n v="0"/>
    <n v="30"/>
    <n v="2"/>
    <n v="30"/>
    <n v="60"/>
    <n v="1548.5797174370334"/>
    <n v="28965.87"/>
    <n v="3.1566451596591667E-2"/>
  </r>
  <r>
    <d v="2024-05-19T00:00:00"/>
    <x v="4"/>
    <x v="1"/>
    <x v="0"/>
    <x v="1"/>
    <x v="16"/>
    <s v="E- Miki Travel cena gala x 28 MM"/>
    <n v="18.951186458077515"/>
    <n v="24.520549535091295"/>
    <n v="17.226046220985875"/>
    <n v="0"/>
    <n v="1"/>
    <n v="9.8000000000000007"/>
    <n v="0"/>
    <n v="0"/>
    <n v="9.8000000000000007"/>
    <n v="26.54"/>
    <n v="25.8"/>
    <n v="0"/>
    <n v="106"/>
    <n v="1"/>
    <n v="106"/>
    <n v="1"/>
    <n v="106"/>
    <n v="212"/>
    <n v="345.53298221415474"/>
    <n v="2644"/>
    <n v="2.8813806739237716E-3"/>
  </r>
  <r>
    <d v="2024-05-21T00:00:00"/>
    <x v="4"/>
    <x v="1"/>
    <x v="0"/>
    <x v="3"/>
    <x v="109"/>
    <s v="E - Grifols 110 cocktaildinner cristina"/>
    <n v="81.904390187765429"/>
    <n v="105.97440224564609"/>
    <n v="74.448574193345536"/>
    <n v="0"/>
    <n v="2"/>
    <n v="11.75"/>
    <n v="0"/>
    <n v="0"/>
    <n v="23.5"/>
    <n v="26.54"/>
    <n v="25.8"/>
    <n v="0"/>
    <n v="104"/>
    <n v="2"/>
    <n v="104"/>
    <n v="1"/>
    <n v="104"/>
    <n v="312"/>
    <n v="820.22256662675693"/>
    <n v="11427"/>
    <n v="1.2452926233330915E-2"/>
  </r>
  <r>
    <d v="2024-05-22T00:00:00"/>
    <x v="4"/>
    <x v="1"/>
    <x v="0"/>
    <x v="1"/>
    <x v="110"/>
    <s v="E - Grifols 110 banquet sopar cristina"/>
    <n v="96.139282890390973"/>
    <n v="124.39263650309364"/>
    <n v="87.387654297308458"/>
    <n v="0"/>
    <n v="4"/>
    <n v="12.25"/>
    <n v="0"/>
    <n v="0"/>
    <n v="49"/>
    <n v="26.54"/>
    <n v="25.8"/>
    <n v="1"/>
    <n v="82"/>
    <n v="1"/>
    <n v="82"/>
    <n v="2"/>
    <n v="82"/>
    <n v="328"/>
    <n v="1329.0483736907931"/>
    <n v="13413"/>
    <n v="1.4617231081444611E-2"/>
  </r>
  <r>
    <d v="2024-05-22T00:00:00"/>
    <x v="4"/>
    <x v="1"/>
    <x v="0"/>
    <x v="1"/>
    <x v="47"/>
    <s v="E - Grupo Pacifico 100 gala cristina // E- Open House Barcelona cocktail 30 pax cristina"/>
    <n v="52.57449041981792"/>
    <n v="68.025049485587999"/>
    <n v="47.788596456479347"/>
    <n v="0"/>
    <n v="2"/>
    <n v="12"/>
    <n v="2"/>
    <n v="4"/>
    <n v="32"/>
    <n v="26.54"/>
    <n v="25.8"/>
    <n v="2"/>
    <n v="120"/>
    <n v="2"/>
    <n v="120"/>
    <n v="1"/>
    <n v="120"/>
    <n v="600"/>
    <n v="955.48813636188515"/>
    <n v="7335"/>
    <n v="7.9935428302688599E-3"/>
  </r>
  <r>
    <d v="2024-05-22T00:00:00"/>
    <x v="4"/>
    <x v="1"/>
    <x v="0"/>
    <x v="3"/>
    <x v="111"/>
    <s v="E-BMC dinar cctel + coffe80-laia"/>
    <n v="52.91136854520736"/>
    <n v="68.460929148276847"/>
    <n v="48.094808321980999"/>
    <n v="0"/>
    <n v="1"/>
    <n v="12.7"/>
    <n v="0"/>
    <n v="0"/>
    <n v="12.7"/>
    <n v="26.54"/>
    <n v="25.8"/>
    <n v="0"/>
    <n v="114"/>
    <n v="1"/>
    <n v="114"/>
    <n v="1"/>
    <n v="114"/>
    <n v="228"/>
    <n v="510.73590601546533"/>
    <n v="7382"/>
    <n v="8.0447625321124379E-3"/>
  </r>
  <r>
    <d v="2024-05-22T00:00:00"/>
    <x v="4"/>
    <x v="1"/>
    <x v="0"/>
    <x v="3"/>
    <x v="112"/>
    <s v="E-BMC coffee+cctel 40-laia"/>
    <n v="20.184017044609035"/>
    <n v="26.115683619824921"/>
    <n v="18.346651345800389"/>
    <n v="0"/>
    <n v="1"/>
    <n v="8.5"/>
    <n v="0"/>
    <n v="0"/>
    <n v="8.5"/>
    <n v="26.54"/>
    <n v="25.8"/>
    <n v="0"/>
    <n v="112"/>
    <n v="1"/>
    <n v="112"/>
    <n v="1"/>
    <n v="112"/>
    <n v="224"/>
    <n v="329.25675201023444"/>
    <n v="2816"/>
    <n v="3.0688229870534573E-3"/>
  </r>
  <r>
    <d v="2024-05-23T00:00:00"/>
    <x v="4"/>
    <x v="0"/>
    <x v="0"/>
    <x v="0"/>
    <x v="18"/>
    <s v="C - AGUSTINA i GRAZIANO x 80/100"/>
    <n v="116.46665232878274"/>
    <n v="150.69380083044572"/>
    <n v="105.8646085645989"/>
    <n v="0"/>
    <n v="4"/>
    <n v="16.45"/>
    <n v="0"/>
    <n v="0"/>
    <n v="65.8"/>
    <n v="26.54"/>
    <n v="25.8"/>
    <n v="0"/>
    <n v="70"/>
    <n v="4"/>
    <n v="70"/>
    <n v="2"/>
    <n v="70"/>
    <n v="420"/>
    <n v="1720.8970617238272"/>
    <n v="16249"/>
    <n v="1.7707849686303845E-2"/>
  </r>
  <r>
    <d v="2024-05-23T00:00:00"/>
    <x v="4"/>
    <x v="1"/>
    <x v="0"/>
    <x v="2"/>
    <x v="16"/>
    <s v="E - BCO Congresos X 200 coffees cristina"/>
    <n v="56.007780250914415"/>
    <n v="72.467312430863615"/>
    <n v="50.909351426166275"/>
    <n v="0"/>
    <n v="0"/>
    <n v="0"/>
    <n v="2"/>
    <n v="4"/>
    <n v="8"/>
    <n v="26.54"/>
    <n v="25.8"/>
    <n v="1"/>
    <n v="106"/>
    <n v="1"/>
    <n v="106"/>
    <n v="2"/>
    <n v="106"/>
    <n v="424"/>
    <n v="487.9148441079443"/>
    <n v="7814"/>
    <n v="8.5155478767172284E-3"/>
  </r>
  <r>
    <d v="2024-05-23T00:00:00"/>
    <x v="4"/>
    <x v="1"/>
    <x v="0"/>
    <x v="3"/>
    <x v="113"/>
    <s v="E - Grifols cocktail lunch 90 cristina"/>
    <n v="37.680176705791794"/>
    <n v="48.753603973515489"/>
    <n v="34.25012291366216"/>
    <n v="0"/>
    <n v="1"/>
    <n v="9.9"/>
    <n v="0"/>
    <n v="0"/>
    <n v="9.9"/>
    <n v="26.54"/>
    <n v="25.8"/>
    <n v="0"/>
    <n v="84"/>
    <n v="1"/>
    <n v="84"/>
    <n v="1"/>
    <n v="84"/>
    <n v="168"/>
    <n v="395.67670359296949"/>
    <n v="5257"/>
    <n v="5.7289781402485888E-3"/>
  </r>
  <r>
    <d v="2024-05-24T00:00:00"/>
    <x v="4"/>
    <x v="0"/>
    <x v="1"/>
    <x v="0"/>
    <x v="13"/>
    <s v="C - DOLORS &amp; JORDI x 70 (GI)"/>
    <n v="118.44355351524356"/>
    <n v="153.25167252759914"/>
    <n v="107.6615510034076"/>
    <n v="0"/>
    <n v="2"/>
    <n v="12.5"/>
    <n v="2"/>
    <n v="3"/>
    <n v="31"/>
    <n v="26.54"/>
    <n v="25.8"/>
    <n v="1"/>
    <n v="74"/>
    <n v="0"/>
    <n v="74"/>
    <n v="1"/>
    <n v="74"/>
    <n v="148"/>
    <n v="1028.8575770462503"/>
    <n v="16524.810000000001"/>
    <n v="1.8008422153654422E-2"/>
  </r>
  <r>
    <d v="2024-05-24T00:00:00"/>
    <x v="4"/>
    <x v="0"/>
    <x v="0"/>
    <x v="0"/>
    <x v="114"/>
    <s v="C-LAURA i MARC x 100 "/>
    <n v="150.5845220490736"/>
    <n v="194.83820922191117"/>
    <n v="136.8767038792331"/>
    <n v="0"/>
    <n v="3"/>
    <n v="15.95"/>
    <n v="0"/>
    <n v="0"/>
    <n v="47.849999999999994"/>
    <n v="26.54"/>
    <n v="25.8"/>
    <n v="1"/>
    <n v="88"/>
    <n v="1"/>
    <n v="88"/>
    <n v="1"/>
    <n v="88"/>
    <n v="264"/>
    <n v="1465.7938351502178"/>
    <n v="21009"/>
    <n v="2.2895206724078868E-2"/>
  </r>
  <r>
    <d v="2024-05-24T00:00:00"/>
    <x v="4"/>
    <x v="1"/>
    <x v="0"/>
    <x v="2"/>
    <x v="16"/>
    <s v="E - BCO Congresos X 200 coffees cristina"/>
    <n v="56.007780250914415"/>
    <n v="72.467312430863615"/>
    <n v="50.909351426166275"/>
    <n v="0"/>
    <n v="0"/>
    <n v="0"/>
    <n v="2"/>
    <n v="4"/>
    <n v="8"/>
    <n v="26.54"/>
    <n v="25.8"/>
    <n v="1"/>
    <n v="106"/>
    <n v="1"/>
    <n v="106"/>
    <n v="2"/>
    <n v="106"/>
    <n v="424"/>
    <n v="487.9148441079443"/>
    <n v="7814"/>
    <n v="8.5155478767172284E-3"/>
  </r>
  <r>
    <d v="2024-05-24T00:00:00"/>
    <x v="4"/>
    <x v="1"/>
    <x v="0"/>
    <x v="3"/>
    <x v="115"/>
    <s v="E-SALLE BONANOVA sopar 500-laia"/>
    <n v="176.3234443527636"/>
    <n v="228.14127025841373"/>
    <n v="160.27259343277328"/>
    <n v="40"/>
    <n v="5"/>
    <n v="12.25"/>
    <n v="1"/>
    <n v="3"/>
    <n v="64.25"/>
    <n v="26.54"/>
    <n v="25.8"/>
    <n v="1"/>
    <n v="104"/>
    <n v="2"/>
    <n v="104"/>
    <n v="4"/>
    <n v="104"/>
    <n v="728"/>
    <n v="2006.2061080439503"/>
    <n v="24600"/>
    <n v="2.6808609901106197E-2"/>
  </r>
  <r>
    <d v="2024-05-25T00:00:00"/>
    <x v="4"/>
    <x v="0"/>
    <x v="1"/>
    <x v="0"/>
    <x v="13"/>
    <s v="C - MARTA i GERLAC x 125 pax (ANNA GI)"/>
    <n v="158.09812274060496"/>
    <n v="204.55990228588627"/>
    <n v="143.70633605475231"/>
    <n v="0"/>
    <n v="2"/>
    <n v="14.5"/>
    <n v="2"/>
    <n v="3"/>
    <n v="35"/>
    <n v="26.54"/>
    <n v="25.8"/>
    <n v="1"/>
    <n v="74"/>
    <n v="0"/>
    <n v="74"/>
    <n v="1"/>
    <n v="74"/>
    <n v="148"/>
    <n v="1227.8651610812433"/>
    <n v="22057.27"/>
    <n v="2.403759133794198E-2"/>
  </r>
  <r>
    <d v="2024-05-25T00:00:00"/>
    <x v="4"/>
    <x v="0"/>
    <x v="1"/>
    <x v="0"/>
    <x v="67"/>
    <s v="C - DAVID &amp; MARIA x 120 "/>
    <n v="115.93244963335137"/>
    <n v="150.00260697384573"/>
    <n v="105.37903472766618"/>
    <n v="0"/>
    <n v="2"/>
    <n v="16.3"/>
    <n v="2"/>
    <n v="3"/>
    <n v="38.6"/>
    <n v="26.54"/>
    <n v="25.8"/>
    <n v="0"/>
    <n v="30"/>
    <n v="0"/>
    <n v="30"/>
    <n v="3"/>
    <n v="30"/>
    <n v="90"/>
    <n v="1142.2680913348634"/>
    <n v="16174.47"/>
    <n v="1.7626628316550614E-2"/>
  </r>
  <r>
    <d v="2024-05-25T00:00:00"/>
    <x v="4"/>
    <x v="1"/>
    <x v="0"/>
    <x v="6"/>
    <x v="116"/>
    <s v="E - NICOLA 70-80 PAX AFV"/>
    <n v="37.164108088173954"/>
    <n v="48.085873426417692"/>
    <n v="33.781032396297945"/>
    <n v="0"/>
    <n v="2"/>
    <n v="12"/>
    <n v="0"/>
    <n v="0"/>
    <n v="24"/>
    <n v="26.54"/>
    <n v="25.8"/>
    <n v="1"/>
    <n v="168"/>
    <n v="1"/>
    <n v="168"/>
    <n v="0"/>
    <n v="168"/>
    <n v="336"/>
    <n v="692.27661391088964"/>
    <n v="5185"/>
    <n v="5.6505139161477898E-3"/>
  </r>
  <r>
    <d v="2024-05-25T00:00:00"/>
    <x v="4"/>
    <x v="2"/>
    <x v="3"/>
    <x v="9"/>
    <x v="90"/>
    <s v="A - CONCERT THE TYETS"/>
    <n v="0"/>
    <n v="0"/>
    <n v="0"/>
    <n v="0"/>
    <n v="0"/>
    <n v="0"/>
    <n v="0"/>
    <n v="0"/>
    <n v="0"/>
    <n v="26.54"/>
    <n v="25.8"/>
    <n v="0"/>
    <n v="0"/>
    <n v="0"/>
    <n v="0"/>
    <n v="0"/>
    <n v="0"/>
    <n v="0"/>
    <n v="1084.3399999999999"/>
    <n v="0"/>
    <n v="0"/>
  </r>
  <r>
    <d v="2024-05-25T00:00:00"/>
    <x v="4"/>
    <x v="1"/>
    <x v="0"/>
    <x v="1"/>
    <x v="31"/>
    <s v="E- MONSTER GALA DINNER 240 AFV "/>
    <n v="161.37178968122439"/>
    <n v="208.79563246333038"/>
    <n v="146.68199872136009"/>
    <n v="0"/>
    <n v="3"/>
    <n v="11.5"/>
    <n v="0"/>
    <n v="0"/>
    <n v="34.5"/>
    <n v="26.54"/>
    <n v="25.8"/>
    <n v="1"/>
    <n v="96"/>
    <n v="1"/>
    <n v="96"/>
    <n v="1"/>
    <n v="96"/>
    <n v="288"/>
    <n v="1266.3942208659148"/>
    <n v="22514"/>
    <n v="2.4535326963963617E-2"/>
  </r>
  <r>
    <d v="2024-05-25T00:00:00"/>
    <x v="4"/>
    <x v="1"/>
    <x v="0"/>
    <x v="3"/>
    <x v="117"/>
    <s v="E- CAN LLEO coctel x 40 MM"/>
    <n v="21.158813322331628"/>
    <n v="27.376952431009649"/>
    <n v="19.232711211932791"/>
    <n v="0"/>
    <n v="1"/>
    <n v="7.5"/>
    <n v="0"/>
    <n v="0"/>
    <n v="7.5"/>
    <n v="26.54"/>
    <n v="25.8"/>
    <n v="0"/>
    <n v="31"/>
    <n v="1"/>
    <n v="31"/>
    <n v="1"/>
    <n v="31"/>
    <n v="62"/>
    <n v="271.5136769652741"/>
    <n v="2952"/>
    <n v="3.2170331881327435E-3"/>
  </r>
  <r>
    <d v="2024-05-25T00:00:00"/>
    <x v="4"/>
    <x v="1"/>
    <x v="0"/>
    <x v="12"/>
    <x v="118"/>
    <s v="E-JUDIT MARQUES 60 COCT AFV "/>
    <n v="59.670433912063295"/>
    <n v="77.20634450818271"/>
    <n v="54.238591070237305"/>
    <n v="0"/>
    <n v="3"/>
    <n v="8.5"/>
    <n v="0"/>
    <n v="0"/>
    <n v="25.5"/>
    <n v="26.54"/>
    <n v="25.8"/>
    <n v="0"/>
    <n v="130"/>
    <n v="1"/>
    <n v="130"/>
    <n v="3"/>
    <n v="130"/>
    <n v="520"/>
    <n v="840.04736949048333"/>
    <n v="8325"/>
    <n v="9.0724259116548422E-3"/>
  </r>
  <r>
    <d v="2024-05-26T00:00:00"/>
    <x v="4"/>
    <x v="0"/>
    <x v="1"/>
    <x v="0"/>
    <x v="75"/>
    <s v="C - LUIS i PHILLIP x 60 "/>
    <n v="107.28615000234575"/>
    <n v="138.81533809934476"/>
    <n v="97.519814017993255"/>
    <n v="0"/>
    <n v="2"/>
    <n v="12.45"/>
    <n v="2"/>
    <n v="3"/>
    <n v="30.9"/>
    <n v="26.54"/>
    <n v="25.8"/>
    <n v="1"/>
    <n v="54"/>
    <n v="1"/>
    <n v="54"/>
    <n v="1"/>
    <n v="54"/>
    <n v="162"/>
    <n v="995.02650211968353"/>
    <n v="14968.17"/>
    <n v="1.6312025628595152E-2"/>
  </r>
  <r>
    <d v="2024-05-26T00:00:00"/>
    <x v="4"/>
    <x v="0"/>
    <x v="0"/>
    <x v="0"/>
    <x v="116"/>
    <s v="C - NICOLA &amp; SIMON x 70/80 (GI)"/>
    <n v="102.07471707876822"/>
    <n v="132.07237245790216"/>
    <n v="92.78278161014363"/>
    <n v="0"/>
    <n v="2"/>
    <n v="16"/>
    <n v="0"/>
    <n v="0"/>
    <n v="32"/>
    <n v="26.54"/>
    <n v="25.8"/>
    <n v="1"/>
    <n v="168"/>
    <n v="1"/>
    <n v="168"/>
    <n v="0"/>
    <n v="168"/>
    <n v="336"/>
    <n v="1044.1754711468141"/>
    <n v="14241.09"/>
    <n v="1.5519667738883922E-2"/>
  </r>
  <r>
    <d v="2024-05-27T00:00:00"/>
    <x v="4"/>
    <x v="1"/>
    <x v="0"/>
    <x v="3"/>
    <x v="119"/>
    <s v="E- CIM Tax&amp;Legal coctel x 50 MM"/>
    <n v="25.803430880892233"/>
    <n v="33.386527354889814"/>
    <n v="23.454525868210723"/>
    <n v="0"/>
    <n v="1"/>
    <n v="10.45"/>
    <n v="0"/>
    <n v="0"/>
    <n v="10.45"/>
    <n v="26.54"/>
    <n v="25.8"/>
    <n v="0"/>
    <n v="102"/>
    <n v="1"/>
    <n v="102"/>
    <n v="1"/>
    <n v="102"/>
    <n v="204"/>
    <n v="377.06288410399281"/>
    <n v="3600"/>
    <n v="3.9232112050399314E-3"/>
  </r>
  <r>
    <d v="2024-05-27T00:00:00"/>
    <x v="4"/>
    <x v="1"/>
    <x v="0"/>
    <x v="1"/>
    <x v="120"/>
    <s v="E- RiB x sopar 40-50 MM"/>
    <n v="51.793219873702022"/>
    <n v="67.01417962956495"/>
    <n v="47.078445534358522"/>
    <n v="0"/>
    <n v="2"/>
    <n v="10.95"/>
    <n v="0"/>
    <n v="0"/>
    <n v="21.9"/>
    <n v="26.54"/>
    <n v="25.8"/>
    <n v="1"/>
    <n v="80"/>
    <n v="1"/>
    <n v="80"/>
    <n v="1"/>
    <n v="80"/>
    <n v="240"/>
    <n v="675.92984503762534"/>
    <n v="7226"/>
    <n v="7.8747567132273731E-3"/>
  </r>
  <r>
    <d v="2024-05-27T00:00:00"/>
    <x v="4"/>
    <x v="1"/>
    <x v="0"/>
    <x v="3"/>
    <x v="121"/>
    <s v="E- Tandem Projects Coct 300 afv"/>
    <n v="152.24024219726417"/>
    <n v="196.98051139384989"/>
    <n v="138.38170262244327"/>
    <n v="0"/>
    <n v="3"/>
    <n v="11.7"/>
    <n v="0"/>
    <n v="0"/>
    <n v="35.099999999999994"/>
    <n v="26.54"/>
    <n v="25.8"/>
    <n v="2"/>
    <n v="126"/>
    <n v="2"/>
    <n v="126"/>
    <n v="1"/>
    <n v="126"/>
    <n v="630"/>
    <n v="1338.4404562135571"/>
    <n v="21240"/>
    <n v="2.3146946109735594E-2"/>
  </r>
  <r>
    <d v="2024-05-28T00:00:00"/>
    <x v="4"/>
    <x v="1"/>
    <x v="0"/>
    <x v="3"/>
    <x v="0"/>
    <s v="E-FEDEFARMA coffee+dinar cctel 150-laia"/>
    <n v="101.56517099506749"/>
    <n v="131.41308128299687"/>
    <n v="92.319619875707218"/>
    <n v="0"/>
    <n v="3"/>
    <n v="14"/>
    <n v="0"/>
    <n v="0"/>
    <n v="42"/>
    <n v="26.54"/>
    <n v="25.8"/>
    <n v="1"/>
    <n v="82"/>
    <n v="1"/>
    <n v="82"/>
    <n v="1"/>
    <n v="82"/>
    <n v="246"/>
    <n v="1198.7294721537717"/>
    <n v="14170"/>
    <n v="1.5442195215393285E-2"/>
  </r>
  <r>
    <d v="2024-05-28T00:00:00"/>
    <x v="4"/>
    <x v="1"/>
    <x v="0"/>
    <x v="2"/>
    <x v="122"/>
    <s v="E - GBT mediolanum x 80 coffe MM"/>
    <n v="64.343721949380438"/>
    <n v="83.253015573568305"/>
    <n v="58.486466310813242"/>
    <n v="0"/>
    <n v="1"/>
    <n v="10"/>
    <n v="3"/>
    <n v="3"/>
    <n v="19"/>
    <n v="26.54"/>
    <n v="25.8"/>
    <n v="1"/>
    <n v="92"/>
    <n v="1"/>
    <n v="92"/>
    <n v="4"/>
    <n v="92"/>
    <n v="552"/>
    <n v="746.48240383376196"/>
    <n v="8977"/>
    <n v="9.7829630521231847E-3"/>
  </r>
  <r>
    <d v="2024-05-29T00:00:00"/>
    <x v="4"/>
    <x v="1"/>
    <x v="1"/>
    <x v="3"/>
    <x v="13"/>
    <s v="E-VOXELGROUP 180 PAX AFV "/>
    <n v="210.77102457875472"/>
    <n v="272.71228427719166"/>
    <n v="191.58438546683459"/>
    <n v="0"/>
    <n v="3"/>
    <n v="17.23"/>
    <n v="2"/>
    <n v="10"/>
    <n v="71.69"/>
    <n v="26.54"/>
    <n v="25.8"/>
    <n v="1"/>
    <n v="74"/>
    <n v="1"/>
    <n v="74"/>
    <n v="2"/>
    <n v="74"/>
    <n v="296"/>
    <n v="2096.1492943227813"/>
    <n v="29406"/>
    <n v="3.2046096859834505E-2"/>
  </r>
  <r>
    <d v="2024-05-29T00:00:00"/>
    <x v="4"/>
    <x v="1"/>
    <x v="0"/>
    <x v="1"/>
    <x v="76"/>
    <s v="E - Spaintacular 150 gala cristina"/>
    <n v="126.51565513295246"/>
    <n v="163.69599842810004"/>
    <n v="114.9988433610521"/>
    <n v="0"/>
    <n v="3"/>
    <n v="13.5"/>
    <n v="3"/>
    <n v="4"/>
    <n v="52.5"/>
    <n v="26.54"/>
    <n v="25.8"/>
    <n v="2"/>
    <n v="114"/>
    <n v="2"/>
    <n v="114"/>
    <n v="1"/>
    <n v="114"/>
    <n v="570"/>
    <n v="1553.3724969221046"/>
    <n v="17651"/>
    <n v="1.9235722494488842E-2"/>
  </r>
  <r>
    <d v="2024-05-29T00:00:00"/>
    <x v="4"/>
    <x v="1"/>
    <x v="0"/>
    <x v="1"/>
    <x v="123"/>
    <s v="E- BODEGAS TORRES SOPAR X21MM"/>
    <n v="16.062635723355413"/>
    <n v="20.783113278418909"/>
    <n v="14.600442352961176"/>
    <n v="0"/>
    <n v="1"/>
    <n v="10"/>
    <n v="0"/>
    <n v="0"/>
    <n v="10"/>
    <n v="26.54"/>
    <n v="25.8"/>
    <n v="0"/>
    <n v="5"/>
    <n v="1"/>
    <n v="5"/>
    <n v="1"/>
    <n v="5"/>
    <n v="10"/>
    <n v="286.43219135473549"/>
    <n v="2241"/>
    <n v="2.4421989751373572E-3"/>
  </r>
  <r>
    <d v="2024-05-29T00:00:00"/>
    <x v="4"/>
    <x v="1"/>
    <x v="0"/>
    <x v="3"/>
    <x v="124"/>
    <s v="E- GP PHARM COCT 165 PAX AFV "/>
    <n v="83.911323700723713"/>
    <n v="108.5711321510264"/>
    <n v="76.272815094206379"/>
    <n v="0"/>
    <n v="3"/>
    <n v="11.1"/>
    <n v="0"/>
    <n v="0"/>
    <n v="33.299999999999997"/>
    <n v="26.54"/>
    <n v="25.8"/>
    <n v="0"/>
    <n v="61"/>
    <n v="1"/>
    <n v="61"/>
    <n v="2"/>
    <n v="61"/>
    <n v="183"/>
    <n v="968.91707094595643"/>
    <n v="11707"/>
    <n v="1.2758064882611799E-2"/>
  </r>
  <r>
    <d v="2024-05-29T00:00:00"/>
    <x v="4"/>
    <x v="1"/>
    <x v="0"/>
    <x v="3"/>
    <x v="30"/>
    <s v="E-SPAIN IN STYLE DMC 90 ccte laia"/>
    <n v="112.35243862721826"/>
    <n v="145.37050452441608"/>
    <n v="102.1249147178342"/>
    <n v="0"/>
    <n v="3"/>
    <n v="10.75"/>
    <n v="0"/>
    <n v="0"/>
    <n v="32.25"/>
    <n v="26.54"/>
    <n v="25.8"/>
    <n v="0"/>
    <n v="112"/>
    <n v="1"/>
    <n v="112"/>
    <n v="2"/>
    <n v="112"/>
    <n v="336"/>
    <n v="1081.5934578694685"/>
    <n v="15675"/>
    <n v="1.7082315455278035E-2"/>
  </r>
  <r>
    <d v="2024-05-30T00:00:00"/>
    <x v="4"/>
    <x v="1"/>
    <x v="0"/>
    <x v="3"/>
    <x v="46"/>
    <s v="E-NEVERENOUGH coffe+ dinar cctel 100-laia"/>
    <n v="34.834631689204514"/>
    <n v="45.071811929101258"/>
    <n v="31.663609922084479"/>
    <n v="0"/>
    <n v="2"/>
    <n v="11"/>
    <n v="0"/>
    <n v="0"/>
    <n v="22"/>
    <n v="26.54"/>
    <n v="25.8"/>
    <n v="0"/>
    <n v="114"/>
    <n v="1"/>
    <n v="114"/>
    <n v="1"/>
    <n v="114"/>
    <n v="228"/>
    <n v="620.2388535403901"/>
    <n v="4860"/>
    <n v="5.2963351268039078E-3"/>
  </r>
  <r>
    <d v="2024-05-30T00:00:00"/>
    <x v="4"/>
    <x v="1"/>
    <x v="0"/>
    <x v="1"/>
    <x v="35"/>
    <s v="E- RiB dinar banquet x 18 MM"/>
    <n v="18.485291178283628"/>
    <n v="23.91773723562801"/>
    <n v="16.802561726143182"/>
    <n v="0"/>
    <n v="1"/>
    <n v="7.5"/>
    <n v="0"/>
    <n v="0"/>
    <n v="7.5"/>
    <n v="26.54"/>
    <n v="25.8"/>
    <n v="0"/>
    <n v="20"/>
    <n v="1"/>
    <n v="20"/>
    <n v="1"/>
    <n v="20"/>
    <n v="40"/>
    <n v="257.12959014005486"/>
    <n v="2579"/>
    <n v="2.8105449160549952E-3"/>
  </r>
  <r>
    <d v="2024-05-30T00:00:00"/>
    <x v="4"/>
    <x v="1"/>
    <x v="0"/>
    <x v="11"/>
    <x v="125"/>
    <s v="NEVER ENOUGH"/>
    <n v="2.1502859067410194"/>
    <n v="2.7822106129074848"/>
    <n v="1.9545438223508937"/>
    <n v="0"/>
    <n v="3"/>
    <n v="3"/>
    <n v="0"/>
    <n v="0"/>
    <n v="9"/>
    <n v="26.54"/>
    <n v="25.8"/>
    <n v="0"/>
    <n v="150"/>
    <n v="0"/>
    <n v="150"/>
    <n v="2"/>
    <n v="150"/>
    <n v="300"/>
    <n v="300.60704034199944"/>
    <n v="300"/>
    <n v="3.2693426708666097E-4"/>
  </r>
  <r>
    <d v="2024-05-30T00:00:00"/>
    <x v="4"/>
    <x v="1"/>
    <x v="1"/>
    <x v="3"/>
    <x v="11"/>
    <s v="E - GRADUACIÓ 200 MG"/>
    <n v="52.682004715154974"/>
    <n v="68.164160016233367"/>
    <n v="47.886323647596889"/>
    <n v="0"/>
    <n v="1"/>
    <n v="11.45"/>
    <n v="1"/>
    <n v="3"/>
    <n v="14.45"/>
    <n v="26.54"/>
    <n v="25.8"/>
    <n v="0"/>
    <n v="92"/>
    <n v="1"/>
    <n v="92"/>
    <n v="1"/>
    <n v="92"/>
    <n v="184"/>
    <n v="529.85888837898517"/>
    <n v="7350"/>
    <n v="8.0098895436231925E-3"/>
  </r>
  <r>
    <d v="2024-05-30T00:00:00"/>
    <x v="4"/>
    <x v="1"/>
    <x v="1"/>
    <x v="3"/>
    <x v="11"/>
    <s v="E - BIG BOX 230 MG"/>
    <n v="103.71545690180849"/>
    <n v="134.19529189590432"/>
    <n v="94.274163698058089"/>
    <n v="0"/>
    <n v="1"/>
    <n v="19.5"/>
    <n v="1"/>
    <n v="3"/>
    <n v="22.5"/>
    <n v="26.54"/>
    <n v="25.8"/>
    <n v="0"/>
    <n v="92"/>
    <n v="1"/>
    <n v="92"/>
    <n v="1"/>
    <n v="92"/>
    <n v="184"/>
    <n v="838.21131249577093"/>
    <n v="14470"/>
    <n v="1.5769129482479945E-2"/>
  </r>
  <r>
    <d v="2024-05-02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03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04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06T00:00:00"/>
    <x v="4"/>
    <x v="3"/>
    <x v="2"/>
    <x v="8"/>
    <x v="28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  <m/>
    <m/>
  </r>
  <r>
    <d v="2024-05-08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09T00:00:00"/>
    <x v="4"/>
    <x v="3"/>
    <x v="2"/>
    <x v="8"/>
    <x v="28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  <m/>
    <m/>
  </r>
  <r>
    <d v="2024-05-10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11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13T00:00:00"/>
    <x v="4"/>
    <x v="3"/>
    <x v="2"/>
    <x v="8"/>
    <x v="28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  <m/>
    <m/>
  </r>
  <r>
    <d v="2024-05-15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16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17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18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20T00:00:00"/>
    <x v="4"/>
    <x v="3"/>
    <x v="2"/>
    <x v="8"/>
    <x v="28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  <m/>
    <m/>
  </r>
  <r>
    <d v="2024-05-22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23T00:00:00"/>
    <x v="4"/>
    <x v="3"/>
    <x v="2"/>
    <x v="8"/>
    <x v="28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  <m/>
    <m/>
  </r>
  <r>
    <d v="2024-05-24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25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27T00:00:00"/>
    <x v="4"/>
    <x v="3"/>
    <x v="2"/>
    <x v="8"/>
    <x v="28"/>
    <m/>
    <n v="0"/>
    <n v="0"/>
    <n v="0"/>
    <n v="0"/>
    <n v="2"/>
    <n v="4"/>
    <n v="0"/>
    <n v="0"/>
    <n v="8"/>
    <n v="26.54"/>
    <n v="25.8"/>
    <n v="0"/>
    <n v="0"/>
    <n v="0"/>
    <n v="0"/>
    <n v="2"/>
    <n v="104"/>
    <n v="208"/>
    <n v="199.0368"/>
    <m/>
    <m/>
  </r>
  <r>
    <d v="2024-05-29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30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31T00:00:00"/>
    <x v="4"/>
    <x v="3"/>
    <x v="2"/>
    <x v="8"/>
    <x v="28"/>
    <m/>
    <n v="0"/>
    <n v="0"/>
    <n v="0"/>
    <n v="0"/>
    <n v="1"/>
    <n v="4"/>
    <n v="0"/>
    <n v="0"/>
    <n v="4"/>
    <n v="26.54"/>
    <n v="25.8"/>
    <n v="0"/>
    <n v="0"/>
    <n v="0"/>
    <n v="0"/>
    <n v="1"/>
    <n v="104"/>
    <n v="104"/>
    <n v="99.5184"/>
    <m/>
    <m/>
  </r>
  <r>
    <d v="2024-05-02T00:00:00"/>
    <x v="4"/>
    <x v="4"/>
    <x v="2"/>
    <x v="8"/>
    <x v="29"/>
    <m/>
    <n v="40.6"/>
    <n v="52.53"/>
    <n v="0"/>
    <n v="0"/>
    <n v="1"/>
    <n v="2.25"/>
    <n v="0"/>
    <n v="0"/>
    <n v="2.25"/>
    <n v="26.54"/>
    <n v="25.8"/>
    <n v="0"/>
    <n v="0"/>
    <n v="0"/>
    <n v="0"/>
    <n v="2"/>
    <n v="150"/>
    <n v="300"/>
    <n v="213.01"/>
    <m/>
    <m/>
  </r>
  <r>
    <d v="2024-05-07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09T00:00:00"/>
    <x v="4"/>
    <x v="4"/>
    <x v="2"/>
    <x v="8"/>
    <x v="29"/>
    <m/>
    <n v="40.6"/>
    <n v="52.53"/>
    <n v="0"/>
    <n v="0"/>
    <n v="2"/>
    <n v="4.75"/>
    <n v="0"/>
    <n v="0"/>
    <n v="9.5"/>
    <n v="26.54"/>
    <n v="25.8"/>
    <n v="0"/>
    <n v="0"/>
    <n v="0"/>
    <n v="0"/>
    <n v="2"/>
    <n v="150"/>
    <n v="300"/>
    <n v="343.51"/>
    <m/>
    <m/>
  </r>
  <r>
    <d v="2024-05-14T00:00:00"/>
    <x v="4"/>
    <x v="4"/>
    <x v="2"/>
    <x v="8"/>
    <x v="29"/>
    <m/>
    <n v="40.6"/>
    <n v="52.53"/>
    <n v="0"/>
    <n v="0"/>
    <n v="1"/>
    <n v="4"/>
    <n v="0"/>
    <n v="0"/>
    <n v="4"/>
    <n v="26.54"/>
    <n v="25.8"/>
    <n v="0"/>
    <n v="0"/>
    <n v="0"/>
    <n v="0"/>
    <n v="2"/>
    <n v="150"/>
    <n v="300"/>
    <n v="244.51"/>
    <m/>
    <m/>
  </r>
  <r>
    <d v="2024-05-16T00:00:00"/>
    <x v="4"/>
    <x v="4"/>
    <x v="2"/>
    <x v="8"/>
    <x v="29"/>
    <m/>
    <n v="40.6"/>
    <n v="52.53"/>
    <n v="0"/>
    <n v="0"/>
    <n v="2"/>
    <n v="6.3"/>
    <n v="0"/>
    <n v="0"/>
    <n v="12.6"/>
    <n v="26.54"/>
    <n v="25.8"/>
    <n v="0"/>
    <n v="0"/>
    <n v="0"/>
    <n v="0"/>
    <n v="2"/>
    <n v="150"/>
    <n v="300"/>
    <n v="399.30999999999995"/>
    <m/>
    <m/>
  </r>
  <r>
    <d v="2024-05-21T00:00:00"/>
    <x v="4"/>
    <x v="4"/>
    <x v="2"/>
    <x v="8"/>
    <x v="29"/>
    <m/>
    <n v="40.6"/>
    <n v="52.53"/>
    <n v="0"/>
    <n v="0"/>
    <n v="2"/>
    <n v="3.75"/>
    <n v="0"/>
    <n v="0"/>
    <n v="7.5"/>
    <n v="26.54"/>
    <n v="25.8"/>
    <n v="0"/>
    <n v="0"/>
    <n v="0"/>
    <n v="0"/>
    <n v="2"/>
    <n v="150"/>
    <n v="300"/>
    <n v="307.51"/>
    <m/>
    <m/>
  </r>
  <r>
    <d v="2024-05-23T00:00:00"/>
    <x v="4"/>
    <x v="4"/>
    <x v="2"/>
    <x v="8"/>
    <x v="29"/>
    <m/>
    <n v="40.6"/>
    <n v="52.53"/>
    <n v="0"/>
    <n v="0"/>
    <n v="2"/>
    <n v="5.6"/>
    <n v="0"/>
    <n v="0"/>
    <n v="11.2"/>
    <n v="26.54"/>
    <n v="25.8"/>
    <n v="0"/>
    <n v="0"/>
    <n v="0"/>
    <n v="0"/>
    <n v="2"/>
    <n v="150"/>
    <n v="300"/>
    <n v="374.11"/>
    <m/>
    <m/>
  </r>
  <r>
    <d v="2024-05-28T00:00:00"/>
    <x v="4"/>
    <x v="4"/>
    <x v="2"/>
    <x v="8"/>
    <x v="29"/>
    <m/>
    <n v="40.6"/>
    <n v="52.53"/>
    <n v="0"/>
    <n v="0"/>
    <n v="2"/>
    <n v="3.85"/>
    <n v="0"/>
    <n v="0"/>
    <n v="7.7"/>
    <n v="26.54"/>
    <n v="25.8"/>
    <n v="0"/>
    <n v="0"/>
    <n v="0"/>
    <n v="0"/>
    <n v="2"/>
    <n v="150"/>
    <n v="300"/>
    <n v="311.11"/>
    <m/>
    <m/>
  </r>
  <r>
    <d v="2024-05-30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02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07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09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14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16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21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23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28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5-30T00:00:00"/>
    <x v="4"/>
    <x v="4"/>
    <x v="2"/>
    <x v="8"/>
    <x v="29"/>
    <m/>
    <n v="40.6"/>
    <n v="52.53"/>
    <n v="0"/>
    <n v="0"/>
    <n v="2"/>
    <n v="5"/>
    <n v="0"/>
    <n v="0"/>
    <n v="10"/>
    <n v="26.54"/>
    <n v="25.8"/>
    <n v="0"/>
    <n v="0"/>
    <n v="0"/>
    <n v="0"/>
    <n v="2"/>
    <n v="150"/>
    <n v="300"/>
    <n v="352.51"/>
    <m/>
    <m/>
  </r>
  <r>
    <d v="2024-06-01T00:00:00"/>
    <x v="5"/>
    <x v="0"/>
    <x v="1"/>
    <x v="0"/>
    <x v="75"/>
    <s v="C - CANDELA &amp; ROBERT (ANNA C)"/>
    <n v="77.084408891083058"/>
    <n v="88.375162769152197"/>
    <n v="62.92768000192185"/>
    <n v="0"/>
    <n v="2"/>
    <n v="14.75"/>
    <n v="2"/>
    <n v="3"/>
    <n v="35.5"/>
    <n v="22.92"/>
    <n v="10.31"/>
    <n v="2"/>
    <n v="54"/>
    <n v="0"/>
    <n v="54"/>
    <n v="0"/>
    <n v="54"/>
    <n v="108"/>
    <n v="929.19405166215711"/>
    <n v="17244.52"/>
    <n v="9.4409032878481729E-3"/>
  </r>
  <r>
    <d v="2024-06-01T00:00:00"/>
    <x v="5"/>
    <x v="1"/>
    <x v="0"/>
    <x v="5"/>
    <x v="126"/>
    <s v="E - HIGH FIDELITY SHOW PAELLA 80-90 AFv"/>
    <n v="37.271539093802005"/>
    <n v="42.730798373581344"/>
    <n v="30.426535261986089"/>
    <n v="0"/>
    <n v="2"/>
    <n v="12.95"/>
    <n v="0"/>
    <n v="0"/>
    <n v="25.9"/>
    <n v="22.92"/>
    <n v="10.31"/>
    <n v="0"/>
    <n v="170"/>
    <n v="1"/>
    <n v="170"/>
    <n v="1"/>
    <n v="170"/>
    <n v="340"/>
    <n v="699.82287272936935"/>
    <n v="8338"/>
    <n v="4.5648270647184186E-3"/>
  </r>
  <r>
    <d v="2024-06-01T00:00:00"/>
    <x v="5"/>
    <x v="0"/>
    <x v="1"/>
    <x v="0"/>
    <x v="67"/>
    <s v="C - SOFIA i RICARD x 140 - check in 2 habs x nuvis 10:00h (aperitiu boda 14:00)"/>
    <n v="122.25672753843665"/>
    <n v="140.16398842857399"/>
    <n v="99.803998490683568"/>
    <n v="0"/>
    <n v="3"/>
    <n v="12.5"/>
    <n v="2"/>
    <n v="2"/>
    <n v="41.5"/>
    <n v="22.92"/>
    <n v="10.31"/>
    <n v="0"/>
    <n v="32"/>
    <n v="0"/>
    <n v="32"/>
    <n v="2"/>
    <n v="32"/>
    <n v="64"/>
    <n v="1159.3891144576942"/>
    <n v="27350"/>
    <n v="1.4973377335098195E-2"/>
  </r>
  <r>
    <d v="2024-06-01T00:00:00"/>
    <x v="5"/>
    <x v="0"/>
    <x v="1"/>
    <x v="0"/>
    <x v="11"/>
    <s v="C - MERITXELL i HECTOR x 90 PAX (Sònia) Csmt tarda/vespre"/>
    <n v="63.027567273030236"/>
    <n v="72.259378995407587"/>
    <n v="51.452409659920832"/>
    <n v="0"/>
    <n v="0"/>
    <n v="0"/>
    <n v="1"/>
    <n v="3"/>
    <n v="3"/>
    <n v="22.92"/>
    <n v="10.31"/>
    <n v="0"/>
    <n v="92"/>
    <n v="1"/>
    <n v="92"/>
    <n v="0"/>
    <n v="92"/>
    <n v="92"/>
    <n v="298.31255592835868"/>
    <n v="14099.87"/>
    <n v="7.7192933779097264E-3"/>
  </r>
  <r>
    <d v="2024-06-01T00:00:00"/>
    <x v="5"/>
    <x v="1"/>
    <x v="0"/>
    <x v="12"/>
    <x v="127"/>
    <s v="E - FESTA DE LA FLORACIO x 228 MM"/>
    <n v="42.018765589078775"/>
    <n v="48.173363481849925"/>
    <n v="34.30192269880898"/>
    <n v="0"/>
    <n v="3"/>
    <n v="10"/>
    <n v="0"/>
    <n v="0"/>
    <n v="30"/>
    <n v="22.92"/>
    <n v="10.31"/>
    <n v="1"/>
    <n v="35"/>
    <n v="0"/>
    <n v="35"/>
    <n v="1"/>
    <n v="35"/>
    <n v="70"/>
    <n v="716.24605176973762"/>
    <n v="9400"/>
    <n v="5.1462430329039504E-3"/>
  </r>
  <r>
    <d v="2024-06-02T00:00:00"/>
    <x v="5"/>
    <x v="2"/>
    <x v="1"/>
    <x v="9"/>
    <x v="67"/>
    <s v="A - PNINNAE MANU GUIX"/>
    <n v="0"/>
    <n v="0"/>
    <n v="0"/>
    <n v="0"/>
    <n v="0"/>
    <n v="0"/>
    <n v="1"/>
    <n v="3"/>
    <n v="3"/>
    <n v="22.92"/>
    <n v="10.31"/>
    <n v="0"/>
    <n v="32"/>
    <n v="0"/>
    <n v="32"/>
    <n v="0"/>
    <n v="32"/>
    <n v="0"/>
    <n v="87.23"/>
    <n v="0"/>
    <n v="0"/>
  </r>
  <r>
    <d v="2024-06-03T00:00:00"/>
    <x v="5"/>
    <x v="1"/>
    <x v="0"/>
    <x v="1"/>
    <x v="49"/>
    <s v="E - FCB Coffees 50 cristina"/>
    <n v="8.046146602164022"/>
    <n v="9.2246866241840291"/>
    <n v="6.5684532827506557"/>
    <n v="0"/>
    <n v="1"/>
    <n v="8"/>
    <n v="0"/>
    <n v="0"/>
    <n v="8"/>
    <n v="22.92"/>
    <n v="10.31"/>
    <n v="0"/>
    <n v="98"/>
    <n v="1"/>
    <n v="98"/>
    <n v="1"/>
    <n v="98"/>
    <n v="196"/>
    <n v="252.93088650909868"/>
    <n v="1800"/>
    <n v="9.8545079353479898E-4"/>
  </r>
  <r>
    <d v="2024-06-04T00:00:00"/>
    <x v="5"/>
    <x v="1"/>
    <x v="0"/>
    <x v="3"/>
    <x v="19"/>
    <s v="E-GOBEACH INTRACON 580 PAX AFV "/>
    <n v="152.51917892546464"/>
    <n v="174.85905978731057"/>
    <n v="124.50868111525131"/>
    <n v="40"/>
    <n v="4"/>
    <n v="12.5"/>
    <n v="0"/>
    <n v="0"/>
    <n v="50"/>
    <n v="22.92"/>
    <n v="10.31"/>
    <n v="0"/>
    <n v="125"/>
    <n v="1"/>
    <n v="125"/>
    <n v="3"/>
    <n v="125"/>
    <n v="500"/>
    <n v="1557.4169198280265"/>
    <n v="34120"/>
    <n v="1.8679767264115188E-2"/>
  </r>
  <r>
    <d v="2024-06-04T00:00:00"/>
    <x v="5"/>
    <x v="1"/>
    <x v="0"/>
    <x v="3"/>
    <x v="35"/>
    <s v="E- RiB junta accionistes x coctel 60 MM"/>
    <n v="17.701522524760847"/>
    <n v="20.294310573204864"/>
    <n v="14.450597222051442"/>
    <n v="0"/>
    <n v="1"/>
    <n v="9.25"/>
    <n v="0"/>
    <n v="0"/>
    <n v="9.25"/>
    <n v="22.92"/>
    <n v="10.31"/>
    <n v="0"/>
    <n v="19"/>
    <n v="1"/>
    <n v="19"/>
    <n v="1"/>
    <n v="19"/>
    <n v="38"/>
    <n v="262.23123032001712"/>
    <n v="3960"/>
    <n v="2.1679917457765579E-3"/>
  </r>
  <r>
    <d v="2024-06-05T00:00:00"/>
    <x v="5"/>
    <x v="1"/>
    <x v="0"/>
    <x v="1"/>
    <x v="47"/>
    <s v="E- EVENTWORKS x cena 170MM"/>
    <n v="61.038962140305394"/>
    <n v="69.9794976962405"/>
    <n v="49.829016431089002"/>
    <n v="0"/>
    <n v="3"/>
    <n v="13"/>
    <n v="2"/>
    <n v="4"/>
    <n v="47"/>
    <n v="22.92"/>
    <n v="10.31"/>
    <n v="2"/>
    <n v="120"/>
    <n v="1"/>
    <n v="120"/>
    <n v="2"/>
    <n v="120"/>
    <n v="600"/>
    <n v="1218.8374762676349"/>
    <n v="13655"/>
    <n v="7.4757392142876002E-3"/>
  </r>
  <r>
    <d v="2024-06-05T00:00:00"/>
    <x v="5"/>
    <x v="1"/>
    <x v="0"/>
    <x v="1"/>
    <x v="110"/>
    <s v="E - Grifols sopar gala 26 cristina"/>
    <n v="10.227546347639599"/>
    <n v="11.725601664518365"/>
    <n v="8.3492339505186113"/>
    <n v="0"/>
    <n v="1"/>
    <n v="9.8000000000000007"/>
    <n v="0"/>
    <n v="0"/>
    <n v="9.8000000000000007"/>
    <n v="22.92"/>
    <n v="10.31"/>
    <n v="0"/>
    <n v="82"/>
    <n v="1"/>
    <n v="82"/>
    <n v="1"/>
    <n v="82"/>
    <n v="164"/>
    <n v="283.32678196267659"/>
    <n v="2288"/>
    <n v="1.2526174531153444E-3"/>
  </r>
  <r>
    <d v="2024-06-05T00:00:00"/>
    <x v="5"/>
    <x v="1"/>
    <x v="0"/>
    <x v="3"/>
    <x v="128"/>
    <s v="E - BACUS 80 cocktail sopar cristina"/>
    <n v="29.05552939670341"/>
    <n v="33.31136836510899"/>
    <n v="23.719414632155143"/>
    <n v="0"/>
    <n v="1"/>
    <n v="9.3000000000000007"/>
    <n v="0"/>
    <n v="0"/>
    <n v="9.3000000000000007"/>
    <n v="22.92"/>
    <n v="10.31"/>
    <n v="0"/>
    <n v="110"/>
    <n v="1"/>
    <n v="110"/>
    <n v="1"/>
    <n v="110"/>
    <n v="220"/>
    <n v="344.92831239396753"/>
    <n v="6500"/>
    <n v="3.558572309986774E-3"/>
  </r>
  <r>
    <d v="2024-06-06T00:00:00"/>
    <x v="5"/>
    <x v="1"/>
    <x v="1"/>
    <x v="3"/>
    <x v="13"/>
    <s v="E-LODGIFY 150-290 PAX AFV "/>
    <n v="132.05067598584853"/>
    <n v="151.39248198056688"/>
    <n v="107.79926579207617"/>
    <n v="0"/>
    <n v="3"/>
    <n v="13.5"/>
    <n v="2"/>
    <n v="8"/>
    <n v="56.5"/>
    <n v="22.92"/>
    <n v="10.31"/>
    <n v="2"/>
    <n v="65"/>
    <n v="0"/>
    <n v="65"/>
    <n v="2"/>
    <n v="65"/>
    <n v="260"/>
    <n v="1510.2684237584915"/>
    <n v="29541"/>
    <n v="1.6172889939895276E-2"/>
  </r>
  <r>
    <d v="2024-06-06T00:00:00"/>
    <x v="5"/>
    <x v="1"/>
    <x v="0"/>
    <x v="1"/>
    <x v="129"/>
    <s v="E- DINAR TIK TOKERS 75 PAX BARRIQUES "/>
    <n v="35.82323270541248"/>
    <n v="41.070354781228225"/>
    <n v="29.244213671090975"/>
    <n v="0"/>
    <n v="2"/>
    <m/>
    <n v="2"/>
    <n v="4"/>
    <n v="8"/>
    <n v="22.92"/>
    <n v="10.31"/>
    <n v="2"/>
    <n v="20"/>
    <n v="1"/>
    <n v="20"/>
    <n v="0"/>
    <n v="20"/>
    <n v="60"/>
    <n v="299.2438011577317"/>
    <n v="8014"/>
    <n v="4.387445921882155E-3"/>
  </r>
  <r>
    <d v="2024-06-06T00:00:00"/>
    <x v="5"/>
    <x v="1"/>
    <x v="0"/>
    <x v="3"/>
    <x v="44"/>
    <s v="E - Kenpower 60 cocktail dinner cristina"/>
    <n v="21.250767192604311"/>
    <n v="24.363422339650484"/>
    <n v="17.348014947887009"/>
    <n v="0"/>
    <n v="1"/>
    <n v="11"/>
    <n v="0"/>
    <n v="0"/>
    <n v="11"/>
    <n v="22.92"/>
    <n v="10.31"/>
    <n v="0"/>
    <n v="104"/>
    <n v="1"/>
    <n v="104"/>
    <n v="1"/>
    <n v="104"/>
    <n v="208"/>
    <n v="349.22900448014178"/>
    <n v="4754"/>
    <n v="2.6026850402580191E-3"/>
  </r>
  <r>
    <d v="2024-06-06T00:00:00"/>
    <x v="5"/>
    <x v="1"/>
    <x v="0"/>
    <x v="3"/>
    <x v="47"/>
    <s v="E - High5Events_Amgen 50 cocktail lunch cristina"/>
    <n v="19.994674306377593"/>
    <n v="22.923346261097308"/>
    <n v="16.322606407635377"/>
    <n v="0"/>
    <n v="1"/>
    <n v="12.2"/>
    <n v="2"/>
    <n v="4"/>
    <n v="20.2"/>
    <n v="22.92"/>
    <n v="10.31"/>
    <n v="0"/>
    <n v="120"/>
    <n v="1"/>
    <n v="120"/>
    <n v="3"/>
    <n v="120"/>
    <n v="480"/>
    <n v="583.07862697511007"/>
    <n v="4473"/>
    <n v="2.4488452219339754E-3"/>
  </r>
  <r>
    <d v="2024-06-06T00:00:00"/>
    <x v="5"/>
    <x v="1"/>
    <x v="0"/>
    <x v="3"/>
    <x v="19"/>
    <s v="E-AMEX COCT 100 PAX AFV "/>
    <n v="20.280759518898982"/>
    <n v="23.251335118846079"/>
    <n v="16.556151413244294"/>
    <n v="0"/>
    <n v="1"/>
    <n v="10"/>
    <n v="0"/>
    <n v="0"/>
    <n v="10"/>
    <n v="22.92"/>
    <n v="10.31"/>
    <n v="1"/>
    <n v="125"/>
    <n v="1"/>
    <n v="125"/>
    <n v="0"/>
    <n v="125"/>
    <n v="250"/>
    <n v="339.46824605098936"/>
    <n v="4537"/>
    <n v="2.4838834723707685E-3"/>
  </r>
  <r>
    <d v="2024-06-06T00:00:00"/>
    <x v="5"/>
    <x v="1"/>
    <x v="0"/>
    <x v="3"/>
    <x v="110"/>
    <s v="E - Grifols cocktailafterworks 200 cristina"/>
    <n v="21.456390939104054"/>
    <n v="24.599164331157407"/>
    <n v="17.515875420668415"/>
    <n v="0"/>
    <n v="2"/>
    <n v="8"/>
    <n v="0"/>
    <n v="0"/>
    <n v="16"/>
    <n v="22.92"/>
    <n v="10.31"/>
    <n v="0"/>
    <n v="82"/>
    <n v="1"/>
    <n v="82"/>
    <n v="1"/>
    <n v="82"/>
    <n v="164"/>
    <n v="428.19583069092988"/>
    <n v="4800"/>
    <n v="2.6278687827594638E-3"/>
  </r>
  <r>
    <d v="2024-06-07T00:00:00"/>
    <x v="5"/>
    <x v="0"/>
    <x v="1"/>
    <x v="0"/>
    <x v="75"/>
    <s v="C - SARA &amp; PASCAL x 100"/>
    <n v="68.092616559092491"/>
    <n v="78.066319225331441"/>
    <n v="55.587251001412362"/>
    <n v="0"/>
    <n v="2"/>
    <n v="13"/>
    <n v="2"/>
    <n v="3"/>
    <n v="32"/>
    <n v="22.92"/>
    <n v="10.31"/>
    <n v="2"/>
    <n v="54"/>
    <n v="0"/>
    <n v="54"/>
    <n v="2"/>
    <n v="54"/>
    <n v="216"/>
    <n v="868.12978678583613"/>
    <n v="15232.97"/>
    <n v="8.3396346524398819E-3"/>
  </r>
  <r>
    <d v="2024-06-07T00:00:00"/>
    <x v="5"/>
    <x v="1"/>
    <x v="1"/>
    <x v="16"/>
    <x v="13"/>
    <s v="E-HELMS BRISCOE 210 AFV "/>
    <n v="88.038254072011327"/>
    <n v="100.93344614628025"/>
    <n v="71.869826335430091"/>
    <n v="0"/>
    <n v="3"/>
    <n v="10.85"/>
    <n v="2"/>
    <n v="3"/>
    <n v="38.549999999999997"/>
    <n v="22.92"/>
    <n v="10.31"/>
    <n v="2"/>
    <n v="65"/>
    <n v="0"/>
    <n v="65"/>
    <n v="0"/>
    <n v="65"/>
    <n v="130"/>
    <n v="1022.3695265537216"/>
    <n v="19695"/>
    <n v="1.0782474099259925E-2"/>
  </r>
  <r>
    <d v="2024-06-07T00:00:00"/>
    <x v="5"/>
    <x v="2"/>
    <x v="1"/>
    <x v="9"/>
    <x v="67"/>
    <s v="A - PINNAE SOPAR SOLIDARI AFV"/>
    <n v="42.242269661361114"/>
    <n v="48.429604776966151"/>
    <n v="34.484379734440942"/>
    <n v="0"/>
    <n v="2"/>
    <n v="16.2"/>
    <n v="1"/>
    <n v="3"/>
    <n v="35.4"/>
    <n v="22.92"/>
    <n v="10.31"/>
    <n v="0"/>
    <n v="32"/>
    <n v="0"/>
    <n v="32"/>
    <n v="2"/>
    <n v="32"/>
    <n v="64"/>
    <n v="812.52065417276799"/>
    <n v="9450"/>
    <n v="5.1736166660576949E-3"/>
  </r>
  <r>
    <d v="2024-06-07T00:00:00"/>
    <x v="5"/>
    <x v="1"/>
    <x v="0"/>
    <x v="3"/>
    <x v="21"/>
    <s v="E-MCKINSEY 50 coffee +CCTEL migdia -LAIA"/>
    <n v="21.965980223907778"/>
    <n v="25.183394484022401"/>
    <n v="17.931877461909291"/>
    <n v="0"/>
    <n v="2"/>
    <n v="12.1"/>
    <n v="0"/>
    <n v="0"/>
    <n v="24.2"/>
    <n v="22.92"/>
    <n v="10.31"/>
    <n v="0"/>
    <n v="132"/>
    <n v="1"/>
    <n v="132"/>
    <n v="2"/>
    <n v="132"/>
    <n v="396"/>
    <n v="638.69285216983928"/>
    <n v="4914"/>
    <n v="2.6902806663500014E-3"/>
  </r>
  <r>
    <d v="2024-06-07T00:00:00"/>
    <x v="5"/>
    <x v="1"/>
    <x v="1"/>
    <x v="17"/>
    <x v="130"/>
    <s v="E- PEP VARIAS x 200 MM"/>
    <n v="0"/>
    <n v="0"/>
    <n v="0"/>
    <n v="0"/>
    <n v="0"/>
    <n v="0"/>
    <n v="1"/>
    <n v="4"/>
    <n v="4"/>
    <n v="22.92"/>
    <n v="10.31"/>
    <n v="2"/>
    <n v="66"/>
    <n v="1"/>
    <n v="66"/>
    <n v="0"/>
    <n v="66"/>
    <n v="198"/>
    <n v="124.3908"/>
    <n v="0"/>
    <n v="0"/>
  </r>
  <r>
    <d v="2024-06-07T00:00:00"/>
    <x v="5"/>
    <x v="1"/>
    <x v="0"/>
    <x v="1"/>
    <x v="40"/>
    <s v="E-LLOTJA dinar Gala 180 PAX AFV "/>
    <n v="80.161970564781882"/>
    <n v="91.903502906384546"/>
    <n v="65.440040399759724"/>
    <n v="0"/>
    <n v="2"/>
    <n v="13.5"/>
    <n v="0"/>
    <n v="0"/>
    <n v="27"/>
    <n v="22.92"/>
    <n v="10.31"/>
    <n v="1"/>
    <n v="130"/>
    <n v="2"/>
    <n v="130"/>
    <n v="1"/>
    <n v="130"/>
    <n v="520"/>
    <n v="894.32751387092605"/>
    <n v="17933"/>
    <n v="9.8178272669219718E-3"/>
  </r>
  <r>
    <d v="2024-06-08T00:00:00"/>
    <x v="5"/>
    <x v="0"/>
    <x v="1"/>
    <x v="0"/>
    <x v="17"/>
    <s v="C - MARTA i LUÍS x 110 PAX (Sònia)"/>
    <n v="79.621403615559828"/>
    <n v="91.283757710016445"/>
    <n v="64.998749813380257"/>
    <n v="0"/>
    <n v="0"/>
    <n v="0"/>
    <n v="1"/>
    <n v="2"/>
    <n v="2"/>
    <n v="22.92"/>
    <n v="10.31"/>
    <n v="0"/>
    <n v="30"/>
    <n v="1"/>
    <n v="30"/>
    <n v="1"/>
    <n v="30"/>
    <n v="60"/>
    <n v="321.00991113895657"/>
    <n v="17812.07"/>
    <n v="9.751621397776326E-3"/>
  </r>
  <r>
    <d v="2024-06-08T00:00:00"/>
    <x v="5"/>
    <x v="0"/>
    <x v="1"/>
    <x v="0"/>
    <x v="75"/>
    <s v="C - DÀMARIS i XAVI x 100"/>
    <n v="75.89979260717223"/>
    <n v="87.017032656777189"/>
    <n v="61.96062122166532"/>
    <n v="0"/>
    <n v="2"/>
    <n v="13.5"/>
    <n v="2"/>
    <n v="3"/>
    <n v="33"/>
    <n v="22.92"/>
    <n v="10.31"/>
    <n v="2"/>
    <n v="54"/>
    <n v="0"/>
    <n v="54"/>
    <n v="0"/>
    <n v="54"/>
    <n v="108"/>
    <n v="880.68424648561472"/>
    <n v="16979.509999999998"/>
    <n v="9.2958175574066968E-3"/>
  </r>
  <r>
    <d v="2024-06-08T00:00:00"/>
    <x v="5"/>
    <x v="1"/>
    <x v="1"/>
    <x v="3"/>
    <x v="13"/>
    <s v="E - GERMANS BOADA FESTA ESTIU 200 PAX sopar AFV"/>
    <n v="73.349566441616346"/>
    <n v="84.093268231242064"/>
    <n v="59.878749953697501"/>
    <n v="0"/>
    <n v="3"/>
    <n v="17.75"/>
    <n v="2"/>
    <n v="3"/>
    <n v="59.25"/>
    <n v="22.92"/>
    <n v="10.31"/>
    <n v="2"/>
    <n v="65"/>
    <n v="0"/>
    <n v="65"/>
    <n v="0"/>
    <n v="65"/>
    <n v="130"/>
    <n v="1351.4495846265559"/>
    <n v="16409"/>
    <n v="8.9834789283958424E-3"/>
  </r>
  <r>
    <d v="2024-06-08T00:00:00"/>
    <x v="5"/>
    <x v="0"/>
    <x v="0"/>
    <x v="0"/>
    <x v="116"/>
    <s v="C - GERARD i MARIYA x 160"/>
    <n v="145.55032195170148"/>
    <n v="166.86945620558674"/>
    <n v="118.81967074424671"/>
    <n v="0"/>
    <n v="3"/>
    <n v="19.5"/>
    <n v="0"/>
    <n v="0"/>
    <n v="58.5"/>
    <n v="22.92"/>
    <n v="10.31"/>
    <n v="1"/>
    <n v="134"/>
    <n v="2"/>
    <n v="134"/>
    <n v="2"/>
    <n v="134"/>
    <n v="670"/>
    <n v="1694.7514489015348"/>
    <n v="32561"/>
    <n v="1.7826257382381437E-2"/>
  </r>
  <r>
    <d v="2024-06-08T00:00:00"/>
    <x v="5"/>
    <x v="1"/>
    <x v="0"/>
    <x v="1"/>
    <x v="21"/>
    <s v="E - BARCELONA VIBES SOPAR BANQUET 23-LAIA"/>
    <n v="46.006078238595613"/>
    <n v="52.744708186723344"/>
    <n v="37.556956214483193"/>
    <n v="0"/>
    <n v="2"/>
    <n v="12.8"/>
    <n v="0"/>
    <n v="0"/>
    <n v="25.6"/>
    <n v="22.92"/>
    <n v="10.31"/>
    <n v="0"/>
    <n v="125"/>
    <n v="1"/>
    <n v="125"/>
    <n v="2"/>
    <n v="125"/>
    <n v="375"/>
    <n v="729.56274263980197"/>
    <n v="10292"/>
    <n v="5.6345886483667503E-3"/>
  </r>
  <r>
    <d v="2024-06-08T00:00:00"/>
    <x v="5"/>
    <x v="0"/>
    <x v="1"/>
    <x v="0"/>
    <x v="11"/>
    <s v="C - ROSA &amp; XAVI x 180"/>
    <n v="99.577992828020513"/>
    <n v="114.16344045442594"/>
    <n v="81.290265542143942"/>
    <n v="0"/>
    <n v="1"/>
    <n v="14"/>
    <n v="1"/>
    <n v="3"/>
    <n v="17"/>
    <n v="22.92"/>
    <n v="10.31"/>
    <n v="0"/>
    <n v="92"/>
    <n v="1"/>
    <n v="92"/>
    <n v="2"/>
    <n v="92"/>
    <n v="276"/>
    <n v="707.2912988245904"/>
    <n v="22276.55"/>
    <n v="1.2195802152620902E-2"/>
  </r>
  <r>
    <d v="2024-06-08T00:00:00"/>
    <x v="5"/>
    <x v="1"/>
    <x v="0"/>
    <x v="1"/>
    <x v="49"/>
    <s v="E - FCB Sopar 130 cristina"/>
    <n v="34.285524688110023"/>
    <n v="39.307414670828607"/>
    <n v="27.988909265943068"/>
    <n v="0"/>
    <n v="1"/>
    <n v="10.5"/>
    <n v="0"/>
    <n v="0"/>
    <n v="10.5"/>
    <n v="22.92"/>
    <n v="10.31"/>
    <n v="0"/>
    <n v="98"/>
    <n v="1"/>
    <n v="98"/>
    <n v="1"/>
    <n v="98"/>
    <n v="196"/>
    <n v="375.6734486248817"/>
    <n v="7670"/>
    <n v="4.1991153257843932E-3"/>
  </r>
  <r>
    <d v="2024-06-09T00:00:00"/>
    <x v="5"/>
    <x v="1"/>
    <x v="0"/>
    <x v="3"/>
    <x v="81"/>
    <s v="E- J&amp;C coctel x 30 MM"/>
    <n v="11.29142573170351"/>
    <n v="12.945310229271588"/>
    <n v="9.2177294401267531"/>
    <n v="0"/>
    <n v="1"/>
    <n v="7.5"/>
    <n v="0"/>
    <n v="0"/>
    <n v="7.5"/>
    <n v="22.92"/>
    <n v="10.31"/>
    <n v="0"/>
    <n v="24"/>
    <n v="1"/>
    <n v="24"/>
    <n v="1"/>
    <n v="24"/>
    <n v="48"/>
    <n v="214.38526540110189"/>
    <n v="2526"/>
    <n v="1.3829159469271679E-3"/>
  </r>
  <r>
    <d v="2024-06-10T00:00:00"/>
    <x v="5"/>
    <x v="1"/>
    <x v="0"/>
    <x v="3"/>
    <x v="131"/>
    <s v="E - ReedMackay 1200 cristina"/>
    <n v="442.32796929107576"/>
    <n v="507.11689751271228"/>
    <n v="361.09342093779202"/>
    <n v="40"/>
    <n v="7"/>
    <n v="20"/>
    <n v="6"/>
    <n v="4"/>
    <n v="164"/>
    <n v="22.92"/>
    <n v="10.31"/>
    <n v="4"/>
    <n v="110"/>
    <n v="3"/>
    <n v="110"/>
    <n v="9"/>
    <n v="110"/>
    <n v="1760"/>
    <n v="4801.4642877415799"/>
    <n v="98953"/>
    <n v="5.4174062429249423E-2"/>
  </r>
  <r>
    <d v="2024-06-11T00:00:00"/>
    <x v="5"/>
    <x v="1"/>
    <x v="0"/>
    <x v="3"/>
    <x v="21"/>
    <s v="E - BNETWORK cctel 300-laia"/>
    <n v="122.16732590952373"/>
    <n v="140.06149191052751"/>
    <n v="99.731015676430786"/>
    <n v="40"/>
    <n v="3"/>
    <n v="11.75"/>
    <n v="0"/>
    <n v="0"/>
    <n v="35.25"/>
    <n v="22.92"/>
    <n v="10.31"/>
    <n v="1"/>
    <n v="125"/>
    <n v="1"/>
    <n v="125"/>
    <n v="2"/>
    <n v="125"/>
    <n v="500"/>
    <n v="1201.9898334964821"/>
    <n v="27330"/>
    <n v="1.4962427881836698E-2"/>
  </r>
  <r>
    <d v="2024-06-11T00:00:00"/>
    <x v="5"/>
    <x v="1"/>
    <x v="0"/>
    <x v="3"/>
    <x v="132"/>
    <s v="E - AECAVA x 40 MM"/>
    <n v="11.59986135145313"/>
    <n v="13.298923216531973"/>
    <n v="9.4695201492988623"/>
    <n v="0"/>
    <n v="1"/>
    <n v="9.25"/>
    <n v="1"/>
    <n v="3"/>
    <n v="12.25"/>
    <n v="22.92"/>
    <n v="10.31"/>
    <n v="0"/>
    <n v="24"/>
    <n v="1"/>
    <n v="24"/>
    <n v="1"/>
    <n v="24"/>
    <n v="48"/>
    <n v="300.79910471728402"/>
    <n v="2595"/>
    <n v="1.4206915606793352E-3"/>
  </r>
  <r>
    <d v="2024-06-12T00:00:00"/>
    <x v="5"/>
    <x v="1"/>
    <x v="0"/>
    <x v="3"/>
    <x v="131"/>
    <s v="E-UAY EVENTS-85 PAX-CENA COCKTAIL noa"/>
    <n v="29.127050699833759"/>
    <n v="33.393365579546185"/>
    <n v="23.777800883557372"/>
    <n v="0"/>
    <n v="2"/>
    <n v="10.5"/>
    <n v="0"/>
    <n v="0"/>
    <n v="21"/>
    <n v="22.92"/>
    <n v="10.31"/>
    <n v="1"/>
    <n v="110"/>
    <n v="1"/>
    <n v="110"/>
    <n v="1"/>
    <n v="110"/>
    <n v="330"/>
    <n v="584.84621716293725"/>
    <n v="6516"/>
    <n v="3.5673318725959724E-3"/>
  </r>
  <r>
    <d v="2024-06-12T00:00:00"/>
    <x v="5"/>
    <x v="1"/>
    <x v="0"/>
    <x v="3"/>
    <x v="16"/>
    <s v="E-FUNDSPEOPLE coffee+cctel 150-laia"/>
    <n v="71.521303130346851"/>
    <n v="81.99721443719136"/>
    <n v="58.386251402228048"/>
    <n v="0"/>
    <n v="2"/>
    <n v="12.75"/>
    <n v="2"/>
    <n v="3"/>
    <n v="31.5"/>
    <n v="22.92"/>
    <n v="10.31"/>
    <n v="0"/>
    <n v="120"/>
    <n v="1"/>
    <n v="120"/>
    <n v="3"/>
    <n v="120"/>
    <n v="480"/>
    <n v="939.14276896976617"/>
    <n v="16000"/>
    <n v="8.759562609198213E-3"/>
  </r>
  <r>
    <d v="2024-06-12T00:00:00"/>
    <x v="5"/>
    <x v="1"/>
    <x v="0"/>
    <x v="1"/>
    <x v="46"/>
    <s v="E BigBox 80 sopar cristina"/>
    <n v="35.680190099151787"/>
    <n v="40.906360352353843"/>
    <n v="29.12744116828652"/>
    <n v="0"/>
    <n v="2"/>
    <n v="11.75"/>
    <n v="0"/>
    <n v="0"/>
    <n v="23.5"/>
    <n v="22.92"/>
    <n v="10.31"/>
    <n v="0"/>
    <n v="116"/>
    <n v="1"/>
    <n v="116"/>
    <n v="1"/>
    <n v="116"/>
    <n v="232"/>
    <n v="623.33119161979209"/>
    <n v="7982"/>
    <n v="4.3699267966637589E-3"/>
  </r>
  <r>
    <d v="2024-06-13T00:00:00"/>
    <x v="5"/>
    <x v="1"/>
    <x v="1"/>
    <x v="1"/>
    <x v="67"/>
    <s v="E- FEGP x 400 MM"/>
    <n v="114.5234866374679"/>
    <n v="131.29803961755266"/>
    <n v="93.490985057817667"/>
    <n v="40"/>
    <n v="4"/>
    <n v="12.75"/>
    <n v="2"/>
    <n v="4"/>
    <n v="59"/>
    <n v="22.92"/>
    <n v="10.31"/>
    <n v="0"/>
    <n v="32"/>
    <n v="2"/>
    <n v="32"/>
    <n v="5"/>
    <n v="32"/>
    <n v="224"/>
    <n v="1533.8129113128382"/>
    <n v="25620"/>
    <n v="1.4026249627978639E-2"/>
  </r>
  <r>
    <d v="2024-06-13T00:00:00"/>
    <x v="5"/>
    <x v="1"/>
    <x v="0"/>
    <x v="3"/>
    <x v="133"/>
    <s v="E - Festa Teknon 800 cristina"/>
    <n v="160.92293204328044"/>
    <n v="184.49373248368056"/>
    <n v="131.36906565501312"/>
    <n v="40"/>
    <n v="4"/>
    <n v="13"/>
    <n v="2"/>
    <n v="6"/>
    <n v="64"/>
    <n v="22.92"/>
    <n v="10.31"/>
    <n v="4"/>
    <n v="102"/>
    <n v="2"/>
    <n v="102"/>
    <n v="2"/>
    <n v="102"/>
    <n v="816"/>
    <n v="1917.9293301819744"/>
    <n v="36000"/>
    <n v="1.970901587069598E-2"/>
  </r>
  <r>
    <d v="2024-06-13T00:00:00"/>
    <x v="5"/>
    <x v="1"/>
    <x v="0"/>
    <x v="3"/>
    <x v="134"/>
    <s v="E- INTERNATIONAL MEETINGS coctel x150 MM"/>
    <n v="35.894754008542833"/>
    <n v="41.15235199566542"/>
    <n v="29.302599922493204"/>
    <n v="0"/>
    <n v="2"/>
    <n v="10.5"/>
    <n v="2"/>
    <n v="4"/>
    <n v="29"/>
    <n v="22.92"/>
    <n v="10.31"/>
    <n v="0"/>
    <n v="112"/>
    <n v="1"/>
    <n v="112"/>
    <n v="4"/>
    <n v="112"/>
    <n v="560"/>
    <n v="809.75570592670124"/>
    <n v="8030"/>
    <n v="4.3962054844913535E-3"/>
  </r>
  <r>
    <d v="2024-06-13T00:00:00"/>
    <x v="5"/>
    <x v="1"/>
    <x v="0"/>
    <x v="3"/>
    <x v="110"/>
    <s v="E - Grifols afterwork st cugat 140 cristina"/>
    <n v="14.214858997156437"/>
    <n v="16.296946369391783"/>
    <n v="11.604267466192825"/>
    <n v="0"/>
    <n v="2"/>
    <n v="11.3"/>
    <n v="0"/>
    <n v="0"/>
    <n v="22.6"/>
    <n v="22.92"/>
    <n v="10.31"/>
    <n v="0"/>
    <n v="82"/>
    <n v="1"/>
    <n v="82"/>
    <n v="2"/>
    <n v="82"/>
    <n v="246"/>
    <n v="547.23767283274105"/>
    <n v="3180"/>
    <n v="1.7409630685781448E-3"/>
  </r>
  <r>
    <d v="2024-06-13T00:00:00"/>
    <x v="5"/>
    <x v="1"/>
    <x v="0"/>
    <x v="3"/>
    <x v="21"/>
    <s v="E-KIMALDI 50 COFFEE+CCTEL -LAIA"/>
    <n v="17.455668045250281"/>
    <n v="20.012445148577019"/>
    <n v="14.249894482856284"/>
    <n v="0"/>
    <n v="1"/>
    <n v="8"/>
    <n v="0"/>
    <n v="0"/>
    <n v="8"/>
    <n v="22.92"/>
    <n v="10.31"/>
    <n v="0"/>
    <n v="125"/>
    <n v="1"/>
    <n v="125"/>
    <n v="1"/>
    <n v="125"/>
    <n v="250"/>
    <n v="295.09800767668361"/>
    <n v="3905"/>
    <n v="2.137880749307439E-3"/>
  </r>
  <r>
    <d v="2024-06-14T00:00:00"/>
    <x v="5"/>
    <x v="1"/>
    <x v="1"/>
    <x v="3"/>
    <x v="67"/>
    <s v="E - SMP x 150 cok sopar MM/santi"/>
    <n v="45.912206528237036"/>
    <n v="52.637086842774536"/>
    <n v="37.480324259517772"/>
    <n v="0"/>
    <n v="1"/>
    <n v="12"/>
    <n v="2"/>
    <n v="3"/>
    <n v="18"/>
    <n v="22.92"/>
    <n v="10.31"/>
    <n v="0"/>
    <n v="32"/>
    <n v="0"/>
    <n v="32"/>
    <n v="2"/>
    <n v="32"/>
    <n v="64"/>
    <n v="510.19401763052934"/>
    <n v="10271"/>
    <n v="5.6230917224421783E-3"/>
  </r>
  <r>
    <d v="2024-06-14T00:00:00"/>
    <x v="5"/>
    <x v="1"/>
    <x v="0"/>
    <x v="3"/>
    <x v="110"/>
    <s v="E - Grifols 250 cristina"/>
    <n v="71.682226062390143"/>
    <n v="82.181708169675048"/>
    <n v="58.517620467883063"/>
    <n v="0"/>
    <n v="2"/>
    <n v="14"/>
    <n v="0"/>
    <n v="0"/>
    <n v="28"/>
    <n v="22.92"/>
    <n v="10.31"/>
    <n v="0"/>
    <n v="82"/>
    <n v="2"/>
    <n v="82"/>
    <n v="2"/>
    <n v="82"/>
    <n v="328"/>
    <n v="836.40035469994814"/>
    <n v="16036"/>
    <n v="8.7792716250689098E-3"/>
  </r>
  <r>
    <d v="2024-06-14T00:00:00"/>
    <x v="5"/>
    <x v="1"/>
    <x v="0"/>
    <x v="3"/>
    <x v="135"/>
    <s v="E- PSSJD - Cati Morell x 300pax MM"/>
    <n v="54.758497709171813"/>
    <n v="62.779117303474635"/>
    <n v="44.701973729830847"/>
    <n v="0"/>
    <n v="3"/>
    <n v="13"/>
    <n v="0"/>
    <n v="0"/>
    <n v="39"/>
    <n v="22.92"/>
    <n v="10.31"/>
    <n v="0"/>
    <n v="105"/>
    <n v="1"/>
    <n v="105"/>
    <n v="2"/>
    <n v="105"/>
    <n v="315"/>
    <n v="980.81858874247723"/>
    <n v="12250"/>
    <n v="6.7065401226673819E-3"/>
  </r>
  <r>
    <d v="2024-06-14T00:00:00"/>
    <x v="5"/>
    <x v="1"/>
    <x v="0"/>
    <x v="6"/>
    <x v="30"/>
    <s v="E-NUBA dinar bufet 200-laia"/>
    <n v="71.932550623346344"/>
    <n v="82.468698420205214"/>
    <n v="58.721972347790853"/>
    <n v="0"/>
    <n v="3"/>
    <n v="11"/>
    <n v="0"/>
    <n v="0"/>
    <n v="33"/>
    <n v="22.92"/>
    <n v="10.31"/>
    <n v="1"/>
    <n v="112"/>
    <n v="1"/>
    <n v="112"/>
    <n v="1"/>
    <n v="112"/>
    <n v="336"/>
    <n v="929.25882139134228"/>
    <n v="16092"/>
    <n v="8.8099300942011023E-3"/>
  </r>
  <r>
    <d v="2024-06-14T00:00:00"/>
    <x v="5"/>
    <x v="1"/>
    <x v="0"/>
    <x v="3"/>
    <x v="2"/>
    <s v="E- LACER DINAR CCTEL 315-LAIA"/>
    <n v="83.009412445658825"/>
    <n v="95.168017006165229"/>
    <n v="67.764543033710936"/>
    <n v="0"/>
    <n v="2"/>
    <n v="12.75"/>
    <n v="2"/>
    <n v="4"/>
    <n v="33.5"/>
    <n v="22.92"/>
    <n v="10.31"/>
    <n v="1"/>
    <n v="64"/>
    <n v="1"/>
    <n v="64"/>
    <n v="1"/>
    <n v="64"/>
    <n v="192"/>
    <n v="932.97517248553493"/>
    <n v="18570"/>
    <n v="1.0166567353300677E-2"/>
  </r>
  <r>
    <d v="2024-06-14T00:00:00"/>
    <x v="5"/>
    <x v="1"/>
    <x v="0"/>
    <x v="18"/>
    <x v="136"/>
    <s v="E- CULLERE I SALA x tapes 100 MM"/>
    <n v="38.576802875930831"/>
    <n v="44.227247537060087"/>
    <n v="31.492084350076752"/>
    <n v="0"/>
    <n v="2"/>
    <n v="13"/>
    <n v="1"/>
    <n v="3"/>
    <n v="29"/>
    <n v="22.92"/>
    <n v="10.31"/>
    <n v="1"/>
    <n v="109"/>
    <n v="1"/>
    <n v="109"/>
    <n v="2"/>
    <n v="109"/>
    <n v="436"/>
    <n v="784.89173476306757"/>
    <n v="8630"/>
    <n v="4.724689082336286E-3"/>
  </r>
  <r>
    <d v="2024-06-14T00:00:00"/>
    <x v="5"/>
    <x v="1"/>
    <x v="0"/>
    <x v="5"/>
    <x v="137"/>
    <s v="E - EL TELER Festa treballadors Vallformosa x 115pax MM"/>
    <n v="26.395830936543636"/>
    <n v="30.262096953225935"/>
    <n v="21.548175908134787"/>
    <n v="0"/>
    <n v="2"/>
    <n v="11.3"/>
    <n v="0"/>
    <n v="0"/>
    <n v="22.6"/>
    <n v="22.92"/>
    <n v="10.31"/>
    <n v="0"/>
    <n v="26"/>
    <n v="1"/>
    <n v="26"/>
    <n v="2"/>
    <n v="26"/>
    <n v="78"/>
    <n v="538.87490379790427"/>
    <n v="5905"/>
    <n v="3.2328260754572154E-3"/>
  </r>
  <r>
    <d v="2024-06-15T00:00:00"/>
    <x v="5"/>
    <x v="0"/>
    <x v="1"/>
    <x v="0"/>
    <x v="17"/>
    <s v="C - ANDREA I CARLOS x 80 (Sònia)"/>
    <n v="63.091489437702982"/>
    <n v="72.332664005810827"/>
    <n v="51.504592372111567"/>
    <n v="0"/>
    <n v="0"/>
    <n v="0"/>
    <n v="1"/>
    <n v="2"/>
    <n v="2"/>
    <n v="22.92"/>
    <n v="10.31"/>
    <n v="0"/>
    <n v="26"/>
    <n v="1"/>
    <n v="26"/>
    <n v="0"/>
    <n v="26"/>
    <n v="26"/>
    <n v="263.03834581562541"/>
    <n v="14114.17"/>
    <n v="7.7271222369916966E-3"/>
  </r>
  <r>
    <d v="2024-06-15T00:00:00"/>
    <x v="5"/>
    <x v="0"/>
    <x v="1"/>
    <x v="0"/>
    <x v="75"/>
    <s v="C - AIDA i ALBERTO x 120"/>
    <n v="94.415316963185333"/>
    <n v="108.24457402679533"/>
    <n v="77.075726967488364"/>
    <n v="0"/>
    <n v="3"/>
    <n v="12.33"/>
    <n v="2"/>
    <n v="3"/>
    <n v="42.99"/>
    <n v="22.92"/>
    <n v="10.31"/>
    <n v="2"/>
    <n v="54"/>
    <n v="0"/>
    <n v="54"/>
    <n v="0"/>
    <n v="54"/>
    <n v="108"/>
    <n v="1115.3624179574692"/>
    <n v="21121.61"/>
    <n v="1.1563504075129192E-2"/>
  </r>
  <r>
    <d v="2024-06-15T00:00:00"/>
    <x v="5"/>
    <x v="0"/>
    <x v="1"/>
    <x v="0"/>
    <x v="13"/>
    <s v="C - FEDERICO i MARTINA (ANNA GI)"/>
    <n v="95.840200124799679"/>
    <n v="109.87816353142028"/>
    <n v="78.238927061049253"/>
    <n v="0"/>
    <n v="3"/>
    <n v="20.25"/>
    <n v="2"/>
    <n v="3"/>
    <n v="66.75"/>
    <n v="22.92"/>
    <n v="10.31"/>
    <n v="2"/>
    <n v="64"/>
    <n v="0"/>
    <n v="64"/>
    <n v="1"/>
    <n v="64"/>
    <n v="192"/>
    <n v="1569.4904907172693"/>
    <n v="21440.37"/>
    <n v="1.1738016461210943E-2"/>
  </r>
  <r>
    <d v="2024-06-15T00:00:00"/>
    <x v="5"/>
    <x v="0"/>
    <x v="1"/>
    <x v="0"/>
    <x v="67"/>
    <s v="C - LORENA i RIKI x 180 "/>
    <n v="144.85741462681182"/>
    <n v="166.07505694246743"/>
    <n v="118.25401744238052"/>
    <n v="0"/>
    <n v="3"/>
    <n v="13"/>
    <n v="2"/>
    <n v="2"/>
    <n v="43"/>
    <n v="22.92"/>
    <n v="10.31"/>
    <n v="0"/>
    <n v="32"/>
    <n v="0"/>
    <n v="32"/>
    <n v="2"/>
    <n v="32"/>
    <n v="64"/>
    <n v="1253.3508890116598"/>
    <n v="32405.99"/>
    <n v="1.7741393644878201E-2"/>
  </r>
  <r>
    <d v="2024-06-15T00:00:00"/>
    <x v="5"/>
    <x v="0"/>
    <x v="0"/>
    <x v="0"/>
    <x v="138"/>
    <s v="C - RAQUEL i DAVID x 100"/>
    <n v="78.472279778327433"/>
    <n v="89.966318715305889"/>
    <n v="64.060665210382084"/>
    <n v="0"/>
    <n v="4"/>
    <n v="19.75"/>
    <n v="0"/>
    <n v="0"/>
    <n v="79"/>
    <n v="22.92"/>
    <n v="10.31"/>
    <n v="0"/>
    <n v="240"/>
    <n v="2"/>
    <n v="240"/>
    <n v="4"/>
    <n v="240"/>
    <n v="1440"/>
    <n v="2068.7532637040154"/>
    <n v="17555"/>
    <n v="9.6108826002796639E-3"/>
  </r>
  <r>
    <d v="2024-06-15T00:00:00"/>
    <x v="5"/>
    <x v="2"/>
    <x v="3"/>
    <x v="9"/>
    <x v="90"/>
    <s v="A - CONCERT EL BARRIO"/>
    <n v="0"/>
    <n v="0"/>
    <n v="0"/>
    <n v="0"/>
    <n v="0"/>
    <n v="0"/>
    <n v="1"/>
    <n v="3"/>
    <n v="3"/>
    <n v="22.92"/>
    <n v="10.31"/>
    <n v="0"/>
    <n v="0"/>
    <n v="0"/>
    <n v="0"/>
    <n v="0"/>
    <n v="0"/>
    <n v="0"/>
    <n v="54"/>
    <n v="0"/>
    <n v="0"/>
  </r>
  <r>
    <d v="2024-06-16T00:00:00"/>
    <x v="5"/>
    <x v="1"/>
    <x v="0"/>
    <x v="1"/>
    <x v="47"/>
    <s v="E-CITITRAVEL GALA DINNER 56 AFV "/>
    <n v="32.868508869840028"/>
    <n v="37.682844859791757"/>
    <n v="26.832131660036428"/>
    <n v="0"/>
    <n v="2"/>
    <n v="13.3"/>
    <n v="0"/>
    <n v="0"/>
    <n v="26.6"/>
    <n v="22.92"/>
    <n v="10.31"/>
    <n v="0"/>
    <n v="120"/>
    <n v="1"/>
    <n v="120"/>
    <n v="2"/>
    <n v="120"/>
    <n v="360"/>
    <n v="704.66948538966824"/>
    <n v="7353"/>
    <n v="4.0255664915896539E-3"/>
  </r>
  <r>
    <d v="2024-06-16T00:00:00"/>
    <x v="5"/>
    <x v="1"/>
    <x v="0"/>
    <x v="3"/>
    <x v="139"/>
    <s v="E- AICSA x 80MM"/>
    <n v="21.456390939104054"/>
    <n v="24.599164331157407"/>
    <n v="17.515875420668415"/>
    <n v="0"/>
    <n v="2"/>
    <n v="8.1999999999999993"/>
    <n v="0"/>
    <n v="0"/>
    <n v="16.399999999999999"/>
    <n v="22.92"/>
    <n v="10.31"/>
    <n v="0"/>
    <n v="85"/>
    <n v="1"/>
    <n v="85"/>
    <n v="1"/>
    <n v="85"/>
    <n v="170"/>
    <n v="436.98343069092988"/>
    <n v="4800"/>
    <n v="2.6278687827594638E-3"/>
  </r>
  <r>
    <d v="2024-06-18T00:00:00"/>
    <x v="5"/>
    <x v="1"/>
    <x v="0"/>
    <x v="4"/>
    <x v="140"/>
    <s v="E - DIBA x 50 brunch CB"/>
    <n v="7.3756343853170199"/>
    <n v="8.4559627388353586"/>
    <n v="6.0210821758547679"/>
    <n v="0"/>
    <n v="1"/>
    <n v="9"/>
    <n v="0"/>
    <n v="0"/>
    <n v="9"/>
    <n v="22.92"/>
    <n v="10.31"/>
    <n v="0"/>
    <n v="24"/>
    <n v="1"/>
    <n v="24"/>
    <n v="1"/>
    <n v="24"/>
    <n v="48"/>
    <n v="229.78347930000717"/>
    <n v="1650"/>
    <n v="9.0332989407356575E-4"/>
  </r>
  <r>
    <d v="2024-06-19T00:00:00"/>
    <x v="5"/>
    <x v="1"/>
    <x v="1"/>
    <x v="5"/>
    <x v="17"/>
    <s v="E- PROMSA concurs paella x 40pax MM"/>
    <n v="21.083139138392561"/>
    <n v="24.171241368313318"/>
    <n v="17.211172171163039"/>
    <n v="0"/>
    <n v="0"/>
    <n v="0"/>
    <n v="1"/>
    <n v="2"/>
    <n v="2"/>
    <n v="22.92"/>
    <n v="10.31"/>
    <n v="0"/>
    <n v="26"/>
    <n v="1"/>
    <n v="26"/>
    <n v="0"/>
    <n v="26"/>
    <n v="26"/>
    <n v="138.57515267786891"/>
    <n v="4716.5"/>
    <n v="2.5821548153927109E-3"/>
  </r>
  <r>
    <d v="2024-06-19T00:00:00"/>
    <x v="5"/>
    <x v="1"/>
    <x v="1"/>
    <x v="5"/>
    <x v="13"/>
    <s v="E-OKTEAM CONCURSO P 70 PAX AFV"/>
    <n v="37.62467552800809"/>
    <n v="43.135659619864981"/>
    <n v="30.714817378284589"/>
    <n v="0"/>
    <n v="1"/>
    <n v="13.75"/>
    <n v="2"/>
    <n v="3"/>
    <n v="19.75"/>
    <n v="22.92"/>
    <n v="10.31"/>
    <n v="1"/>
    <n v="64"/>
    <n v="1"/>
    <n v="64"/>
    <n v="1"/>
    <n v="64"/>
    <n v="192"/>
    <n v="551.00835252615752"/>
    <n v="8417"/>
    <n v="4.6080774051013348E-3"/>
  </r>
  <r>
    <d v="2024-06-19T00:00:00"/>
    <x v="5"/>
    <x v="1"/>
    <x v="0"/>
    <x v="16"/>
    <x v="141"/>
    <s v="E- EVENTOEMPRESA x 190 MM"/>
    <n v="83.568172626364642"/>
    <n v="95.808620243955772"/>
    <n v="68.220685622790825"/>
    <n v="0"/>
    <n v="3"/>
    <n v="17.45"/>
    <n v="0"/>
    <n v="0"/>
    <n v="52.349999999999994"/>
    <n v="22.92"/>
    <n v="10.31"/>
    <n v="0"/>
    <n v="96"/>
    <n v="2"/>
    <n v="96"/>
    <n v="3"/>
    <n v="96"/>
    <n v="480"/>
    <n v="1350.1354784931113"/>
    <n v="18695"/>
    <n v="1.0235001436185037E-2"/>
  </r>
  <r>
    <d v="2024-06-20T00:00:00"/>
    <x v="5"/>
    <x v="1"/>
    <x v="0"/>
    <x v="3"/>
    <x v="58"/>
    <s v="E-HANNAN 100 cctel-laia"/>
    <n v="46.82410314314896"/>
    <n v="53.682551326848724"/>
    <n v="38.224748964896179"/>
    <n v="0"/>
    <n v="2"/>
    <n v="11.25"/>
    <n v="0"/>
    <n v="0"/>
    <n v="22.5"/>
    <n v="22.92"/>
    <n v="10.31"/>
    <n v="0"/>
    <n v="120"/>
    <n v="1"/>
    <n v="120"/>
    <n v="2"/>
    <n v="120"/>
    <n v="360"/>
    <n v="672.21740343489375"/>
    <n v="10475"/>
    <n v="5.7347761457094554E-3"/>
  </r>
  <r>
    <d v="2024-06-20T00:00:00"/>
    <x v="5"/>
    <x v="1"/>
    <x v="0"/>
    <x v="3"/>
    <x v="23"/>
    <s v="E - TRANSCALIT x 75+100 AFV "/>
    <n v="37.660436179573267"/>
    <n v="43.176658227083578"/>
    <n v="30.744010503985709"/>
    <n v="0"/>
    <n v="2"/>
    <n v="13.25"/>
    <n v="0"/>
    <n v="0"/>
    <n v="26.5"/>
    <n v="22.92"/>
    <n v="10.31"/>
    <n v="0"/>
    <n v="120"/>
    <n v="1"/>
    <n v="120"/>
    <n v="2"/>
    <n v="120"/>
    <n v="360"/>
    <n v="717.06710491064234"/>
    <n v="8425"/>
    <n v="4.6124571864059345E-3"/>
  </r>
  <r>
    <d v="2024-06-20T00:00:00"/>
    <x v="5"/>
    <x v="1"/>
    <x v="0"/>
    <x v="1"/>
    <x v="19"/>
    <s v="E-BSPORT CENA 140 PAX AFV"/>
    <n v="33.069662534894128"/>
    <n v="37.913462025396356"/>
    <n v="26.996342992105195"/>
    <n v="0"/>
    <n v="1"/>
    <n v="8.5500000000000007"/>
    <n v="0"/>
    <n v="0"/>
    <n v="8.5500000000000007"/>
    <n v="22.92"/>
    <n v="10.31"/>
    <n v="0"/>
    <n v="125"/>
    <n v="1"/>
    <n v="125"/>
    <n v="1"/>
    <n v="125"/>
    <n v="250"/>
    <n v="351.25946755239573"/>
    <n v="7398"/>
    <n v="4.0502027614280241E-3"/>
  </r>
  <r>
    <d v="2024-06-20T00:00:00"/>
    <x v="5"/>
    <x v="1"/>
    <x v="1"/>
    <x v="5"/>
    <x v="17"/>
    <s v="E- PROMSA concurs paella x 35pax MM"/>
    <n v="21.083139138392561"/>
    <n v="24.171241368313318"/>
    <n v="17.211172171163039"/>
    <n v="0"/>
    <n v="0"/>
    <n v="0"/>
    <n v="1"/>
    <n v="2"/>
    <n v="2"/>
    <n v="22.92"/>
    <n v="10.31"/>
    <n v="0"/>
    <n v="26"/>
    <n v="1"/>
    <n v="26"/>
    <n v="0"/>
    <n v="26"/>
    <n v="26"/>
    <n v="138.57515267786891"/>
    <n v="4716.5"/>
    <n v="2.5821548153927109E-3"/>
  </r>
  <r>
    <d v="2024-06-21T00:00:00"/>
    <x v="5"/>
    <x v="2"/>
    <x v="3"/>
    <x v="9"/>
    <x v="142"/>
    <s v="A - CLUB TARRACO"/>
    <n v="0"/>
    <n v="0"/>
    <n v="0"/>
    <n v="0"/>
    <n v="0"/>
    <n v="0"/>
    <n v="1"/>
    <n v="3"/>
    <n v="3"/>
    <n v="22.92"/>
    <n v="10.31"/>
    <n v="0"/>
    <n v="0"/>
    <n v="0"/>
    <n v="0"/>
    <n v="1"/>
    <n v="0"/>
    <n v="0"/>
    <n v="54"/>
    <n v="0"/>
    <n v="0"/>
  </r>
  <r>
    <d v="2024-06-21T00:00:00"/>
    <x v="5"/>
    <x v="0"/>
    <x v="1"/>
    <x v="0"/>
    <x v="17"/>
    <s v="C-CHLOE i GABRIEL x 90"/>
    <n v="64.391389122097038"/>
    <n v="73.822963378206779"/>
    <n v="52.565762491347058"/>
    <n v="0"/>
    <n v="0"/>
    <n v="0"/>
    <n v="1"/>
    <n v="2"/>
    <n v="2"/>
    <n v="22.92"/>
    <n v="10.31"/>
    <n v="0"/>
    <n v="26"/>
    <n v="1"/>
    <n v="26"/>
    <n v="0"/>
    <n v="26"/>
    <n v="26"/>
    <n v="266.88971499165092"/>
    <n v="14404.97"/>
    <n v="7.8863272874138742E-3"/>
  </r>
  <r>
    <d v="2024-06-21T00:00:00"/>
    <x v="5"/>
    <x v="1"/>
    <x v="0"/>
    <x v="13"/>
    <x v="143"/>
    <s v="E-ST PAULS SCHOOL_500 PAX_afv"/>
    <n v="44.589062420325618"/>
    <n v="51.120138375686487"/>
    <n v="36.400178608576546"/>
    <n v="0"/>
    <n v="2"/>
    <n v="10.3"/>
    <n v="0"/>
    <n v="0"/>
    <n v="20.6"/>
    <n v="22.92"/>
    <n v="10.31"/>
    <n v="0"/>
    <n v="98"/>
    <n v="1"/>
    <n v="98"/>
    <n v="2"/>
    <n v="98"/>
    <n v="294"/>
    <n v="613.9317794045885"/>
    <n v="9975"/>
    <n v="5.4610398141720111E-3"/>
  </r>
  <r>
    <d v="2024-06-21T00:00:00"/>
    <x v="5"/>
    <x v="1"/>
    <x v="0"/>
    <x v="3"/>
    <x v="114"/>
    <s v="E-m.egara 45-50 cctel sopar-laia"/>
    <n v="20.517673835518256"/>
    <n v="23.522950891669272"/>
    <n v="16.74955587101417"/>
    <n v="0"/>
    <n v="2"/>
    <n v="12"/>
    <n v="0"/>
    <n v="0"/>
    <n v="24"/>
    <n v="22.92"/>
    <n v="10.31"/>
    <n v="0"/>
    <n v="84"/>
    <n v="1"/>
    <n v="84"/>
    <n v="2"/>
    <n v="84"/>
    <n v="252"/>
    <n v="592.69938059820163"/>
    <n v="4590"/>
    <n v="2.5128995235137374E-3"/>
  </r>
  <r>
    <d v="2024-06-22T00:00:00"/>
    <x v="5"/>
    <x v="0"/>
    <x v="1"/>
    <x v="0"/>
    <x v="75"/>
    <s v="C - ANA i CÉSAR x 90/100"/>
    <n v="69.599034006275403"/>
    <n v="79.793385554414769"/>
    <n v="56.817011421571785"/>
    <n v="0"/>
    <n v="2"/>
    <n v="13.75"/>
    <n v="2"/>
    <n v="3"/>
    <n v="33.5"/>
    <n v="22.92"/>
    <n v="10.31"/>
    <n v="2"/>
    <n v="54"/>
    <n v="0"/>
    <n v="54"/>
    <n v="0"/>
    <n v="54"/>
    <n v="108"/>
    <n v="871.01623098226185"/>
    <n v="15569.97"/>
    <n v="8.5241329398961178E-3"/>
  </r>
  <r>
    <d v="2024-06-22T00:00:00"/>
    <x v="5"/>
    <x v="0"/>
    <x v="1"/>
    <x v="0"/>
    <x v="13"/>
    <s v="C - MARÍA UNZUE &amp; ALEJANDRO - 300 pax"/>
    <n v="201.62159317983082"/>
    <n v="231.15363238005605"/>
    <n v="164.59332411856548"/>
    <n v="0"/>
    <n v="4"/>
    <n v="16.149999999999999"/>
    <n v="3"/>
    <n v="6"/>
    <n v="82.6"/>
    <n v="22.92"/>
    <n v="10.31"/>
    <n v="3"/>
    <n v="65"/>
    <n v="0"/>
    <n v="65"/>
    <n v="2"/>
    <n v="65"/>
    <n v="325"/>
    <n v="2203.3935496784525"/>
    <n v="45104.68"/>
    <n v="2.4693579276740655E-2"/>
  </r>
  <r>
    <d v="2024-06-22T00:00:00"/>
    <x v="5"/>
    <x v="0"/>
    <x v="1"/>
    <x v="0"/>
    <x v="26"/>
    <s v="C - ALBA i DAVID x 140 (Sònia)"/>
    <n v="95.724693220244163"/>
    <n v="109.74573803010422"/>
    <n v="78.144633265034656"/>
    <n v="0"/>
    <n v="2"/>
    <n v="12.6"/>
    <n v="2"/>
    <n v="3"/>
    <n v="31.2"/>
    <n v="22.92"/>
    <n v="10.31"/>
    <n v="0"/>
    <n v="30"/>
    <n v="0"/>
    <n v="30"/>
    <n v="2"/>
    <n v="30"/>
    <n v="60"/>
    <n v="894.321064515383"/>
    <n v="21414.53"/>
    <n v="1.1723869767597088E-2"/>
  </r>
  <r>
    <d v="2024-06-22T00:00:00"/>
    <x v="5"/>
    <x v="0"/>
    <x v="1"/>
    <x v="0"/>
    <x v="67"/>
    <s v="C - RAQUEL &amp; JUANMA X 90 PAX"/>
    <n v="81.712731219905621"/>
    <n v="93.681407508418943"/>
    <n v="66.706000295788527"/>
    <n v="0"/>
    <n v="2"/>
    <n v="13.85"/>
    <n v="1"/>
    <n v="3"/>
    <n v="30.7"/>
    <n v="22.92"/>
    <n v="10.31"/>
    <n v="0"/>
    <n v="32"/>
    <n v="0"/>
    <n v="32"/>
    <n v="2"/>
    <n v="32"/>
    <n v="64"/>
    <n v="844.86453902411301"/>
    <n v="18279.919999999998"/>
    <n v="1.0007756483195912E-2"/>
  </r>
  <r>
    <d v="2024-06-22T00:00:00"/>
    <x v="5"/>
    <x v="0"/>
    <x v="0"/>
    <x v="0"/>
    <x v="144"/>
    <s v="C - BEA GARCIA i CARLES COLLx 100 "/>
    <n v="75.716876874416371"/>
    <n v="86.807324780854074"/>
    <n v="61.811298383704127"/>
    <n v="0"/>
    <n v="3"/>
    <n v="19"/>
    <n v="0"/>
    <n v="0"/>
    <n v="57"/>
    <n v="22.92"/>
    <n v="10.31"/>
    <n v="1"/>
    <n v="180"/>
    <n v="1"/>
    <n v="180"/>
    <n v="2"/>
    <n v="180"/>
    <n v="720"/>
    <n v="1474.0775000389744"/>
    <n v="16938.59"/>
    <n v="9.2734149760336729E-3"/>
  </r>
  <r>
    <d v="2024-06-22T00:00:00"/>
    <x v="5"/>
    <x v="0"/>
    <x v="1"/>
    <x v="0"/>
    <x v="17"/>
    <s v="C - MONTSE i QUIM x 70"/>
    <n v="80.909412883308462"/>
    <n v="92.760425045512207"/>
    <n v="66.050213218320138"/>
    <n v="0"/>
    <n v="0"/>
    <n v="0"/>
    <n v="1"/>
    <n v="2"/>
    <n v="2"/>
    <n v="22.92"/>
    <n v="10.31"/>
    <n v="0"/>
    <n v="26"/>
    <n v="0"/>
    <n v="26"/>
    <n v="0"/>
    <n v="26"/>
    <n v="0"/>
    <n v="308.95005114714081"/>
    <n v="18100.21"/>
    <n v="9.909370170914724E-3"/>
  </r>
  <r>
    <d v="2024-06-22T00:00:00"/>
    <x v="5"/>
    <x v="0"/>
    <x v="0"/>
    <x v="0"/>
    <x v="145"/>
    <s v="C - ANNA i ALBERT x 150"/>
    <n v="90.54149968157347"/>
    <n v="103.80334865158194"/>
    <n v="73.913345134508063"/>
    <n v="0"/>
    <n v="2"/>
    <n v="21.75"/>
    <n v="0"/>
    <n v="0"/>
    <n v="43.5"/>
    <n v="22.92"/>
    <n v="10.31"/>
    <n v="0"/>
    <n v="304"/>
    <n v="1"/>
    <n v="304"/>
    <n v="2"/>
    <n v="304"/>
    <n v="912"/>
    <n v="1325.8033934676635"/>
    <n v="20255"/>
    <n v="1.1089058790581863E-2"/>
  </r>
  <r>
    <d v="2024-06-22T00:00:00"/>
    <x v="5"/>
    <x v="0"/>
    <x v="0"/>
    <x v="0"/>
    <x v="146"/>
    <s v="C - LISA i RAMON x 80"/>
    <n v="92.621428578232866"/>
    <n v="106.18793014393351"/>
    <n v="75.611290308099115"/>
    <n v="0"/>
    <n v="3"/>
    <n v="20"/>
    <n v="0"/>
    <n v="0"/>
    <n v="60"/>
    <n v="22.92"/>
    <n v="10.31"/>
    <n v="0"/>
    <n v="300"/>
    <n v="1"/>
    <n v="300"/>
    <n v="2"/>
    <n v="300"/>
    <n v="900"/>
    <n v="1625.7906490302653"/>
    <n v="20720.3"/>
    <n v="1.1343797820710608E-2"/>
  </r>
  <r>
    <d v="2024-06-23T00:00:00"/>
    <x v="5"/>
    <x v="0"/>
    <x v="0"/>
    <x v="0"/>
    <x v="107"/>
    <s v="C - IRIS &amp; TONI X 140 (JONA)"/>
    <n v="95.957137455417794"/>
    <n v="110.01222897702509"/>
    <n v="78.334388582091904"/>
    <n v="0"/>
    <n v="3"/>
    <n v="18.3"/>
    <n v="4"/>
    <n v="3"/>
    <n v="66.900000000000006"/>
    <n v="22.92"/>
    <n v="10.31"/>
    <n v="3"/>
    <n v="42"/>
    <n v="0"/>
    <n v="42"/>
    <n v="1"/>
    <n v="42"/>
    <n v="168"/>
    <n v="1566.1865550145349"/>
    <n v="21466.53"/>
    <n v="1.1752338346076982E-2"/>
  </r>
  <r>
    <d v="2024-06-23T00:00:00"/>
    <x v="5"/>
    <x v="0"/>
    <x v="1"/>
    <x v="0"/>
    <x v="75"/>
    <s v="C - ELOI i ANNA x 150 (MARC)"/>
    <n v="93.3961383935779"/>
    <n v="107.07611372106537"/>
    <n v="76.243722885006633"/>
    <n v="0"/>
    <n v="3"/>
    <n v="13.3"/>
    <n v="2"/>
    <n v="3"/>
    <n v="45.900000000000006"/>
    <n v="22.92"/>
    <n v="10.31"/>
    <n v="2"/>
    <n v="54"/>
    <n v="0"/>
    <n v="54"/>
    <n v="1"/>
    <n v="54"/>
    <n v="162"/>
    <n v="1179.0111749996499"/>
    <n v="20893.61"/>
    <n v="1.1438680307948118E-2"/>
  </r>
  <r>
    <d v="2024-06-23T00:00:00"/>
    <x v="5"/>
    <x v="0"/>
    <x v="1"/>
    <x v="0"/>
    <x v="26"/>
    <s v="C - SANDRA i QUICO x 140 (SÒNIA)"/>
    <n v="83.196932362303698"/>
    <n v="95.383003452767738"/>
    <n v="67.917624486606158"/>
    <n v="0"/>
    <n v="2"/>
    <n v="14.55"/>
    <n v="2"/>
    <n v="3"/>
    <n v="35.1"/>
    <n v="22.92"/>
    <n v="10.31"/>
    <n v="1"/>
    <n v="30"/>
    <n v="0"/>
    <n v="30"/>
    <n v="1"/>
    <n v="30"/>
    <n v="60"/>
    <n v="927.40356030167766"/>
    <n v="18611.95"/>
    <n v="1.0189533831516669E-2"/>
  </r>
  <r>
    <d v="2024-06-23T00:00:00"/>
    <x v="5"/>
    <x v="1"/>
    <x v="1"/>
    <x v="1"/>
    <x v="130"/>
    <s v="E- Jordi Lleo sopar revetlla x 70 MM"/>
    <n v="16.561651756120945"/>
    <n v="18.987479968112126"/>
    <n v="13.520066340328434"/>
    <n v="0"/>
    <n v="1"/>
    <n v="9"/>
    <n v="1"/>
    <n v="3"/>
    <n v="12"/>
    <n v="22.92"/>
    <n v="10.31"/>
    <n v="0"/>
    <n v="80"/>
    <n v="1"/>
    <n v="80"/>
    <n v="1"/>
    <n v="80"/>
    <n v="160"/>
    <n v="340.63519806456156"/>
    <n v="3705"/>
    <n v="2.0283862166924614E-3"/>
  </r>
  <r>
    <d v="2024-06-23T00:00:00"/>
    <x v="5"/>
    <x v="1"/>
    <x v="1"/>
    <x v="1"/>
    <x v="67"/>
    <s v="REVETLLA SANT JOAN"/>
    <n v="0"/>
    <n v="0"/>
    <n v="0"/>
    <n v="0"/>
    <n v="2"/>
    <n v="13.25"/>
    <n v="2"/>
    <n v="3"/>
    <n v="32.5"/>
    <n v="22.92"/>
    <n v="10.31"/>
    <n v="0"/>
    <n v="32"/>
    <n v="0"/>
    <n v="32"/>
    <n v="2"/>
    <n v="32"/>
    <n v="64"/>
    <n v="601.93439999999998"/>
    <n v="0"/>
    <n v="0"/>
  </r>
  <r>
    <d v="2024-06-25T00:00:00"/>
    <x v="5"/>
    <x v="1"/>
    <x v="0"/>
    <x v="3"/>
    <x v="1"/>
    <s v="E - Grifols 350 cocktail sopar cristina"/>
    <n v="108.80178238704016"/>
    <n v="124.73826246257737"/>
    <n v="88.820084945639422"/>
    <n v="40"/>
    <n v="2"/>
    <n v="9.3000000000000007"/>
    <n v="1"/>
    <n v="3"/>
    <n v="21.6"/>
    <n v="22.92"/>
    <n v="10.31"/>
    <n v="1"/>
    <n v="82"/>
    <n v="2"/>
    <n v="82"/>
    <n v="2"/>
    <n v="82"/>
    <n v="410"/>
    <n v="892.87612979525693"/>
    <n v="24340"/>
    <n v="1.3325484619242782E-2"/>
  </r>
  <r>
    <d v="2024-06-25T00:00:00"/>
    <x v="5"/>
    <x v="1"/>
    <x v="0"/>
    <x v="15"/>
    <x v="147"/>
    <s v="AEF Clarion 1800 cristina"/>
    <n v="1855.0837999433716"/>
    <n v="2126.8027494646512"/>
    <n v="1514.39339574529"/>
    <n v="100"/>
    <n v="8"/>
    <n v="15"/>
    <n v="22"/>
    <n v="3"/>
    <n v="186"/>
    <n v="242.92000000000002"/>
    <n v="10.31"/>
    <n v="10"/>
    <n v="115"/>
    <n v="4"/>
    <n v="115"/>
    <n v="22"/>
    <n v="115"/>
    <n v="4140"/>
    <n v="10292.953945153313"/>
    <n v="415000"/>
    <n v="0.22720115517607867"/>
  </r>
  <r>
    <d v="2024-06-26T00:00:00"/>
    <x v="5"/>
    <x v="1"/>
    <x v="0"/>
    <x v="3"/>
    <x v="49"/>
    <s v="E - FCB cocktail sopar 50 cristina"/>
    <n v="11.15732328833411"/>
    <n v="12.791565452201853"/>
    <n v="9.1082552187475763"/>
    <n v="0"/>
    <n v="1"/>
    <n v="8"/>
    <n v="0"/>
    <n v="0"/>
    <n v="8"/>
    <n v="22.92"/>
    <n v="10.31"/>
    <n v="0"/>
    <n v="98"/>
    <n v="1"/>
    <n v="98"/>
    <n v="1"/>
    <n v="98"/>
    <n v="196"/>
    <n v="262.14874395928359"/>
    <n v="2496"/>
    <n v="1.3664917670349213E-3"/>
  </r>
  <r>
    <d v="2024-06-26T00:00:00"/>
    <x v="5"/>
    <x v="1"/>
    <x v="0"/>
    <x v="3"/>
    <x v="148"/>
    <s v="E-CRODA sopar cctel 65p-laia"/>
    <n v="35.286822931934879"/>
    <n v="40.455375672949287"/>
    <n v="28.806316785574264"/>
    <n v="0"/>
    <n v="2"/>
    <n v="13.25"/>
    <n v="0"/>
    <n v="0"/>
    <n v="26.5"/>
    <n v="22.92"/>
    <n v="10.31"/>
    <n v="0"/>
    <n v="140"/>
    <n v="1"/>
    <n v="140"/>
    <n v="2"/>
    <n v="140"/>
    <n v="420"/>
    <n v="725.91051539045839"/>
    <n v="7894"/>
    <n v="4.3217492023131686E-3"/>
  </r>
  <r>
    <d v="2024-06-26T00:00:00"/>
    <x v="5"/>
    <x v="1"/>
    <x v="0"/>
    <x v="11"/>
    <x v="149"/>
    <s v="E- ENTREGA BLAYET AFV "/>
    <n v="3.3391508398980689"/>
    <n v="3.8282449490363719"/>
    <n v="2.7259081123415223"/>
    <n v="0"/>
    <n v="1"/>
    <n v="3"/>
    <n v="0"/>
    <n v="0"/>
    <n v="3"/>
    <n v="22.92"/>
    <n v="10.31"/>
    <n v="0"/>
    <n v="80"/>
    <n v="0"/>
    <n v="80"/>
    <n v="1"/>
    <n v="80"/>
    <n v="80"/>
    <n v="118.29130390127598"/>
    <n v="747"/>
    <n v="4.089620793169416E-4"/>
  </r>
  <r>
    <d v="2024-06-27T00:00:00"/>
    <x v="5"/>
    <x v="1"/>
    <x v="1"/>
    <x v="3"/>
    <x v="13"/>
    <s v="E - EVENTSPLATFORM 15 PAX AFV"/>
    <n v="0"/>
    <n v="0"/>
    <n v="0"/>
    <n v="0"/>
    <n v="0"/>
    <n v="0"/>
    <n v="0"/>
    <n v="0"/>
    <n v="0"/>
    <n v="22.92"/>
    <n v="10.31"/>
    <n v="0"/>
    <n v="65"/>
    <n v="1"/>
    <n v="65"/>
    <n v="0"/>
    <n v="65"/>
    <n v="65"/>
    <n v="50.429000000000002"/>
    <n v="0"/>
    <n v="0"/>
  </r>
  <r>
    <d v="2024-06-27T00:00:00"/>
    <x v="5"/>
    <x v="1"/>
    <x v="0"/>
    <x v="1"/>
    <x v="1"/>
    <s v="E - Grifols dinar 10 cristina"/>
    <n v="5.3730378976673077"/>
    <n v="6.1600407345940011"/>
    <n v="4.386267136592382"/>
    <n v="0"/>
    <n v="0"/>
    <n v="0"/>
    <n v="0"/>
    <n v="0"/>
    <n v="0"/>
    <n v="22.92"/>
    <n v="10.31"/>
    <n v="0"/>
    <n v="82"/>
    <n v="1"/>
    <n v="82"/>
    <n v="0"/>
    <n v="82"/>
    <n v="82"/>
    <n v="70.846545768853687"/>
    <n v="1202"/>
    <n v="6.5806214101601576E-4"/>
  </r>
  <r>
    <d v="2024-06-28T00:00:00"/>
    <x v="5"/>
    <x v="1"/>
    <x v="1"/>
    <x v="19"/>
    <x v="75"/>
    <s v="E-SOFTONIC POOL PARTY 150 PAX AFV "/>
    <n v="75.432624395287689"/>
    <n v="86.481437101725263"/>
    <n v="61.57924952578739"/>
    <n v="0"/>
    <n v="2"/>
    <n v="16.850000000000001"/>
    <n v="2"/>
    <n v="3"/>
    <n v="39.700000000000003"/>
    <n v="22.92"/>
    <n v="10.31"/>
    <n v="1"/>
    <n v="54"/>
    <n v="0"/>
    <n v="54"/>
    <n v="1"/>
    <n v="54"/>
    <n v="108"/>
    <n v="999.90011102280039"/>
    <n v="16875"/>
    <n v="9.2386011893887399E-3"/>
  </r>
  <r>
    <d v="2024-06-28T00:00:00"/>
    <x v="5"/>
    <x v="0"/>
    <x v="1"/>
    <x v="0"/>
    <x v="67"/>
    <s v="C - NURIA PUJOL i ALVARO x150 ( tb es queden tota la casa check out: 10:00, informats nuvis )"/>
    <n v="115.35559229857505"/>
    <n v="132.25202595927038"/>
    <n v="94.170272601475475"/>
    <n v="0"/>
    <n v="2"/>
    <n v="14.75"/>
    <n v="2"/>
    <n v="3"/>
    <n v="35.5"/>
    <n v="22.92"/>
    <n v="10.31"/>
    <n v="0"/>
    <n v="32"/>
    <n v="0"/>
    <n v="32"/>
    <n v="2"/>
    <n v="32"/>
    <n v="64"/>
    <n v="1030.942290859321"/>
    <n v="25806.15"/>
    <n v="1.4128161664210031E-2"/>
  </r>
  <r>
    <d v="2024-06-28T00:00:00"/>
    <x v="5"/>
    <x v="1"/>
    <x v="0"/>
    <x v="3"/>
    <x v="49"/>
    <s v="E - FCB cocktail sopar 57 cristina"/>
    <n v="10.459990582813228"/>
    <n v="11.992092611439237"/>
    <n v="8.5389892675758521"/>
    <n v="0"/>
    <n v="1"/>
    <n v="11.5"/>
    <n v="0"/>
    <n v="0"/>
    <n v="11.5"/>
    <n v="22.92"/>
    <n v="10.31"/>
    <n v="0"/>
    <n v="98"/>
    <n v="1"/>
    <n v="98"/>
    <n v="1"/>
    <n v="98"/>
    <n v="196"/>
    <n v="323.08267246182839"/>
    <n v="2340"/>
    <n v="1.2810860315952387E-3"/>
  </r>
  <r>
    <d v="2024-06-28T00:00:00"/>
    <x v="5"/>
    <x v="1"/>
    <x v="0"/>
    <x v="3"/>
    <x v="19"/>
    <s v="E-GOBEACH 130 COCT AFV "/>
    <n v="33.042842046220244"/>
    <n v="37.882713069982408"/>
    <n v="26.974448147829357"/>
    <n v="0"/>
    <n v="1"/>
    <n v="9"/>
    <n v="0"/>
    <n v="0"/>
    <n v="9"/>
    <n v="22.92"/>
    <n v="10.31"/>
    <n v="0"/>
    <n v="125"/>
    <n v="1"/>
    <n v="125"/>
    <n v="2"/>
    <n v="125"/>
    <n v="375"/>
    <n v="392.35500326403206"/>
    <n v="7392"/>
    <n v="4.0469179254495743E-3"/>
  </r>
  <r>
    <d v="2024-06-29T00:00:00"/>
    <x v="5"/>
    <x v="0"/>
    <x v="0"/>
    <x v="0"/>
    <x v="107"/>
    <s v="C - ALMUDENA i ELOI x 90 PAX (Sònia)"/>
    <n v="78.477509773618834"/>
    <n v="89.972314761611599"/>
    <n v="64.064934705015872"/>
    <n v="0"/>
    <n v="2"/>
    <n v="16"/>
    <n v="4"/>
    <n v="3"/>
    <n v="44"/>
    <n v="22.92"/>
    <n v="10.31"/>
    <n v="2"/>
    <n v="42"/>
    <n v="0"/>
    <n v="42"/>
    <n v="2"/>
    <n v="42"/>
    <n v="168"/>
    <n v="1102.1975592402464"/>
    <n v="17556.169999999998"/>
    <n v="9.6115231432954609E-3"/>
  </r>
  <r>
    <d v="2024-06-29T00:00:00"/>
    <x v="5"/>
    <x v="0"/>
    <x v="1"/>
    <x v="0"/>
    <x v="75"/>
    <s v="C - ALEJANDRA i CARLOS x 120"/>
    <n v="91.437885113869001"/>
    <n v="104.83102998977506"/>
    <n v="74.645107321613608"/>
    <n v="0"/>
    <n v="2"/>
    <n v="15.8"/>
    <n v="2"/>
    <n v="3"/>
    <n v="37.6"/>
    <n v="22.92"/>
    <n v="10.31"/>
    <n v="1"/>
    <n v="54"/>
    <n v="0"/>
    <n v="54"/>
    <n v="1"/>
    <n v="54"/>
    <n v="108"/>
    <n v="1009.5208224252577"/>
    <n v="20455.53"/>
    <n v="1.119884348370827E-2"/>
  </r>
  <r>
    <d v="2024-06-29T00:00:00"/>
    <x v="5"/>
    <x v="0"/>
    <x v="1"/>
    <x v="0"/>
    <x v="13"/>
    <s v="C - CLARA i CARLOS x 150 (GI)"/>
    <n v="104.16957108735987"/>
    <n v="119.42755912477558"/>
    <n v="85.038589899352729"/>
    <n v="0"/>
    <n v="3"/>
    <n v="13.85"/>
    <n v="2"/>
    <n v="3"/>
    <n v="47.55"/>
    <n v="22.92"/>
    <n v="10.31"/>
    <n v="1"/>
    <n v="65"/>
    <n v="0"/>
    <n v="65"/>
    <n v="1"/>
    <n v="65"/>
    <n v="130"/>
    <n v="1232.1637201114881"/>
    <n v="23303.73"/>
    <n v="1.2758155122678166E-2"/>
  </r>
  <r>
    <d v="2024-06-29T00:00:00"/>
    <x v="5"/>
    <x v="1"/>
    <x v="1"/>
    <x v="20"/>
    <x v="26"/>
    <s v="E - RURALITY 200 P SUMMER PARTY AFV "/>
    <n v="81.386772880889069"/>
    <n v="93.307705203621438"/>
    <n v="66.439904955022868"/>
    <n v="0"/>
    <n v="2"/>
    <n v="14.425000000000001"/>
    <n v="2"/>
    <n v="3"/>
    <n v="34.85"/>
    <n v="22.92"/>
    <n v="10.31"/>
    <n v="0"/>
    <n v="30"/>
    <n v="0"/>
    <n v="30"/>
    <n v="2"/>
    <n v="30"/>
    <n v="60"/>
    <n v="917.54038303953337"/>
    <n v="18207"/>
    <n v="9.9678347766044909E-3"/>
  </r>
  <r>
    <d v="2024-06-29T00:00:00"/>
    <x v="5"/>
    <x v="0"/>
    <x v="1"/>
    <x v="0"/>
    <x v="67"/>
    <s v="C - MARTA I MANEL x 160 PAX"/>
    <n v="139.89902148404269"/>
    <n v="160.39039505857306"/>
    <n v="114.20624459829254"/>
    <n v="0"/>
    <n v="3"/>
    <n v="14.7"/>
    <n v="2"/>
    <n v="3"/>
    <n v="50.099999999999994"/>
    <n v="22.92"/>
    <n v="10.31"/>
    <n v="0"/>
    <n v="32"/>
    <n v="0"/>
    <n v="32"/>
    <n v="2"/>
    <n v="32"/>
    <n v="64"/>
    <n v="1366.4600611409085"/>
    <n v="31296.75"/>
    <n v="1.7134115068089012E-2"/>
  </r>
  <r>
    <d v="2024-06-29T00:00:00"/>
    <x v="5"/>
    <x v="0"/>
    <x v="0"/>
    <x v="0"/>
    <x v="150"/>
    <s v="C - SARAH i ALEXIS x 130"/>
    <n v="99.982311694779256"/>
    <n v="114.6269809572912"/>
    <n v="81.620330319602175"/>
    <n v="0"/>
    <n v="3"/>
    <n v="21"/>
    <n v="3"/>
    <n v="4"/>
    <n v="75"/>
    <n v="22.92"/>
    <n v="10.31"/>
    <n v="0"/>
    <n v="170"/>
    <n v="2"/>
    <n v="170"/>
    <n v="6"/>
    <n v="170"/>
    <n v="1360"/>
    <n v="2039.3156229716726"/>
    <n v="22367"/>
    <n v="1.2245321054996027E-2"/>
  </r>
  <r>
    <d v="2024-06-29T00:00:00"/>
    <x v="5"/>
    <x v="1"/>
    <x v="1"/>
    <x v="1"/>
    <x v="17"/>
    <s v="E - 50EANIVERSARI 1974 - 2024 50PAX JC"/>
    <n v="16.749395176838107"/>
    <n v="19.202722656009755"/>
    <n v="13.673330250259282"/>
    <n v="0"/>
    <n v="0"/>
    <n v="0"/>
    <n v="1"/>
    <n v="2"/>
    <n v="2"/>
    <n v="22.92"/>
    <n v="10.31"/>
    <n v="0"/>
    <n v="26"/>
    <n v="1"/>
    <n v="26"/>
    <n v="0"/>
    <n v="26"/>
    <n v="26"/>
    <n v="125.73504808310715"/>
    <n v="3747"/>
    <n v="2.0513800685416066E-3"/>
  </r>
  <r>
    <d v="2024-06-29T00:00:00"/>
    <x v="5"/>
    <x v="0"/>
    <x v="0"/>
    <x v="0"/>
    <x v="151"/>
    <s v="C - YIJUN i ORIOL x 80/90 (MARC)"/>
    <n v="69.880783239794525"/>
    <n v="80.116403331038285"/>
    <n v="57.047016760689445"/>
    <n v="0"/>
    <n v="3"/>
    <n v="21.25"/>
    <n v="0"/>
    <n v="0"/>
    <n v="63.75"/>
    <n v="22.92"/>
    <n v="10.31"/>
    <n v="1"/>
    <n v="208"/>
    <n v="2"/>
    <n v="208"/>
    <n v="1"/>
    <n v="208"/>
    <n v="832"/>
    <n v="1607.9214033315222"/>
    <n v="15633"/>
    <n v="8.5586401418497292E-3"/>
  </r>
  <r>
    <d v="2024-06-29T00:00:00"/>
    <x v="5"/>
    <x v="1"/>
    <x v="0"/>
    <x v="5"/>
    <x v="152"/>
    <s v="E- EL TELER ref. Maieutike comida x 67 MM"/>
    <n v="18.38544498594479"/>
    <n v="21.078408936260505"/>
    <n v="15.008915751085249"/>
    <n v="0"/>
    <n v="1"/>
    <n v="12.85"/>
    <n v="1"/>
    <n v="2"/>
    <n v="14.85"/>
    <n v="22.92"/>
    <n v="10.31"/>
    <n v="0"/>
    <n v="60"/>
    <n v="1"/>
    <n v="60"/>
    <n v="2"/>
    <n v="60"/>
    <n v="180"/>
    <n v="402.63076967329056"/>
    <n v="4113"/>
    <n v="2.2517550632270159E-3"/>
  </r>
  <r>
    <d v="2024-06-30T00:00:00"/>
    <x v="5"/>
    <x v="1"/>
    <x v="0"/>
    <x v="1"/>
    <x v="150"/>
    <s v="DINAR SARAH i ALEXIS x 80"/>
    <n v="0"/>
    <n v="0"/>
    <n v="0"/>
    <n v="0"/>
    <n v="2"/>
    <n v="11.2"/>
    <n v="2"/>
    <n v="4"/>
    <n v="30.4"/>
    <n v="22.92"/>
    <n v="10.31"/>
    <n v="0"/>
    <n v="170"/>
    <n v="1"/>
    <n v="170"/>
    <n v="2"/>
    <n v="170"/>
    <n v="510"/>
    <n v="715.37599999999986"/>
    <n v="0"/>
    <n v="0"/>
  </r>
  <r>
    <d v="2024-06-01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03T00:00:00"/>
    <x v="5"/>
    <x v="3"/>
    <x v="2"/>
    <x v="8"/>
    <x v="28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  <m/>
    <m/>
  </r>
  <r>
    <d v="2024-06-05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06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07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08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10T00:00:00"/>
    <x v="5"/>
    <x v="3"/>
    <x v="2"/>
    <x v="8"/>
    <x v="28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  <m/>
    <m/>
  </r>
  <r>
    <d v="2024-06-12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13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14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15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17T00:00:00"/>
    <x v="5"/>
    <x v="3"/>
    <x v="2"/>
    <x v="8"/>
    <x v="28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  <m/>
    <m/>
  </r>
  <r>
    <d v="2024-06-19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20T00:00:00"/>
    <x v="5"/>
    <x v="3"/>
    <x v="2"/>
    <x v="8"/>
    <x v="28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  <m/>
    <m/>
  </r>
  <r>
    <d v="2024-06-21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24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25T00:00:00"/>
    <x v="5"/>
    <x v="3"/>
    <x v="2"/>
    <x v="8"/>
    <x v="28"/>
    <m/>
    <n v="0"/>
    <n v="0"/>
    <n v="0"/>
    <n v="0"/>
    <n v="2"/>
    <n v="4"/>
    <n v="0"/>
    <n v="0"/>
    <n v="8"/>
    <n v="22.92"/>
    <n v="10.31"/>
    <n v="0"/>
    <n v="0"/>
    <n v="0"/>
    <n v="0"/>
    <n v="2"/>
    <n v="104"/>
    <n v="208"/>
    <n v="232.26679999999999"/>
    <m/>
    <m/>
  </r>
  <r>
    <d v="2024-06-26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27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28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29T00:00:00"/>
    <x v="5"/>
    <x v="3"/>
    <x v="2"/>
    <x v="8"/>
    <x v="28"/>
    <m/>
    <n v="0"/>
    <n v="0"/>
    <n v="0"/>
    <n v="0"/>
    <n v="1"/>
    <n v="4"/>
    <n v="0"/>
    <n v="0"/>
    <n v="4"/>
    <n v="22.92"/>
    <n v="10.31"/>
    <n v="0"/>
    <n v="0"/>
    <n v="0"/>
    <n v="0"/>
    <n v="1"/>
    <n v="104"/>
    <n v="104"/>
    <n v="132.7484"/>
    <m/>
    <m/>
  </r>
  <r>
    <d v="2024-06-04T00:00:00"/>
    <x v="5"/>
    <x v="4"/>
    <x v="2"/>
    <x v="8"/>
    <x v="29"/>
    <m/>
    <n v="129.6"/>
    <n v="148.58000000000001"/>
    <n v="0"/>
    <n v="0"/>
    <n v="2"/>
    <n v="4.75"/>
    <n v="0"/>
    <n v="0"/>
    <n v="9.5"/>
    <n v="22.92"/>
    <n v="10.31"/>
    <n v="0"/>
    <n v="0"/>
    <n v="0"/>
    <n v="0"/>
    <n v="2"/>
    <n v="150"/>
    <n v="300"/>
    <n v="561.79"/>
    <m/>
    <m/>
  </r>
  <r>
    <d v="2024-06-06T00:00:00"/>
    <x v="5"/>
    <x v="4"/>
    <x v="2"/>
    <x v="8"/>
    <x v="29"/>
    <m/>
    <n v="129.6"/>
    <n v="148.58000000000001"/>
    <n v="0"/>
    <n v="0"/>
    <n v="2"/>
    <n v="6.5"/>
    <n v="0"/>
    <n v="0"/>
    <n v="13"/>
    <n v="22.92"/>
    <n v="10.31"/>
    <n v="0"/>
    <n v="0"/>
    <n v="0"/>
    <n v="0"/>
    <n v="2"/>
    <n v="150"/>
    <n v="300"/>
    <n v="624.79"/>
    <m/>
    <m/>
  </r>
  <r>
    <d v="2024-06-11T00:00:00"/>
    <x v="5"/>
    <x v="4"/>
    <x v="2"/>
    <x v="8"/>
    <x v="29"/>
    <m/>
    <n v="129.6"/>
    <n v="148.58000000000001"/>
    <n v="0"/>
    <n v="0"/>
    <n v="2"/>
    <n v="3.25"/>
    <n v="0"/>
    <n v="0"/>
    <n v="6.5"/>
    <n v="22.92"/>
    <n v="10.31"/>
    <n v="0"/>
    <n v="0"/>
    <n v="0"/>
    <n v="0"/>
    <n v="2"/>
    <n v="150"/>
    <n v="300"/>
    <n v="507.79000000000008"/>
    <m/>
    <m/>
  </r>
  <r>
    <d v="2024-06-13T00:00:00"/>
    <x v="5"/>
    <x v="4"/>
    <x v="2"/>
    <x v="8"/>
    <x v="29"/>
    <m/>
    <n v="129.6"/>
    <n v="148.58000000000001"/>
    <n v="0"/>
    <n v="0"/>
    <n v="2"/>
    <n v="5"/>
    <n v="0"/>
    <n v="0"/>
    <n v="10"/>
    <n v="22.92"/>
    <n v="10.31"/>
    <n v="0"/>
    <n v="0"/>
    <n v="0"/>
    <n v="0"/>
    <n v="2"/>
    <n v="150"/>
    <n v="300"/>
    <n v="570.79"/>
    <m/>
    <m/>
  </r>
  <r>
    <d v="2024-06-18T00:00:00"/>
    <x v="5"/>
    <x v="4"/>
    <x v="2"/>
    <x v="8"/>
    <x v="29"/>
    <m/>
    <n v="129.6"/>
    <n v="148.58000000000001"/>
    <n v="0"/>
    <n v="0"/>
    <n v="3"/>
    <n v="5.5"/>
    <n v="0"/>
    <n v="0"/>
    <n v="16.5"/>
    <n v="22.92"/>
    <n v="10.31"/>
    <n v="0"/>
    <n v="0"/>
    <n v="0"/>
    <n v="0"/>
    <n v="2"/>
    <n v="150"/>
    <n v="300"/>
    <n v="687.79"/>
    <m/>
    <m/>
  </r>
  <r>
    <d v="2024-06-20T00:00:00"/>
    <x v="5"/>
    <x v="4"/>
    <x v="2"/>
    <x v="8"/>
    <x v="29"/>
    <m/>
    <n v="129.6"/>
    <n v="148.58000000000001"/>
    <n v="0"/>
    <n v="0"/>
    <n v="3"/>
    <n v="4"/>
    <n v="0"/>
    <n v="0"/>
    <n v="12"/>
    <n v="22.92"/>
    <n v="10.31"/>
    <n v="0"/>
    <n v="0"/>
    <n v="0"/>
    <n v="0"/>
    <n v="2"/>
    <n v="150"/>
    <n v="300"/>
    <n v="606.79"/>
    <m/>
    <m/>
  </r>
  <r>
    <d v="2024-06-26T00:00:00"/>
    <x v="5"/>
    <x v="4"/>
    <x v="2"/>
    <x v="8"/>
    <x v="29"/>
    <m/>
    <n v="129.6"/>
    <n v="148.58000000000001"/>
    <n v="0"/>
    <n v="0"/>
    <n v="2"/>
    <n v="4.5"/>
    <n v="0"/>
    <n v="0"/>
    <n v="9"/>
    <n v="22.92"/>
    <n v="10.31"/>
    <n v="0"/>
    <n v="0"/>
    <n v="0"/>
    <n v="0"/>
    <n v="2"/>
    <n v="150"/>
    <n v="300"/>
    <n v="552.7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A9181-73B0-4D40-A92D-4A20EA542FD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chartFormat="3">
  <location ref="A3:K9" firstHeaderRow="0" firstDataRow="1" firstDataCol="1" rowPageCount="1" colPageCount="1"/>
  <pivotFields count="38">
    <pivotField numFmtId="14" showAll="0"/>
    <pivotField axis="axisRow" numFmtId="17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8">
        <item m="1" x="6"/>
        <item x="3"/>
        <item m="1" x="5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6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1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2" item="3" hier="-1"/>
  </pageFields>
  <dataFields count="10">
    <dataField name=" TOTAL COST " fld="25" baseField="1" baseItem="0"/>
    <dataField name=" PREPARACIÓ" fld="8" baseField="1" baseItem="0"/>
    <dataField name="% PREPARACIÓ&amp;TOTAL COST" fld="29" baseField="1" baseItem="0" numFmtId="10"/>
    <dataField name=" GESTIÓ LOGÍSTICA" fld="7" baseField="1" baseItem="0"/>
    <dataField name=" % GESTIÓ &amp; TOTAL COST" fld="30" baseField="1" baseItem="1" numFmtId="10"/>
    <dataField name=" PERSONAL DE RENTAT" fld="9" baseField="1" baseItem="0"/>
    <dataField name="% RENTAT &amp; TOTAL COST" fld="31" baseField="1" baseItem="1" numFmtId="10"/>
    <dataField name=" TOTAL HORES" fld="15" baseField="1" baseItem="0" numFmtId="4"/>
    <dataField name=" IMPORT HORES EVENT" fld="32" baseField="1" baseItem="0" numFmtId="4"/>
    <dataField name="  % IMPORT EVENTS &amp; TOTAL COST" fld="33" baseField="1" baseItem="0" numFmtId="10"/>
  </dataFields>
  <formats count="10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C6A0F-C412-45D2-AB5F-ACC0A41AB815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D158" firstHeaderRow="0" firstDataRow="1" firstDataCol="1" rowPageCount="2" colPageCount="1"/>
  <pivotFields count="38">
    <pivotField numFmtId="14" showAll="0"/>
    <pivotField numFmtId="17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8">
        <item m="1" x="6"/>
        <item x="3"/>
        <item x="0"/>
        <item x="1"/>
        <item x="2"/>
        <item x="4"/>
        <item m="1" x="5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154">
        <item x="46"/>
        <item x="66"/>
        <item x="39"/>
        <item x="69"/>
        <item x="79"/>
        <item x="62"/>
        <item x="63"/>
        <item x="33"/>
        <item x="28"/>
        <item x="2"/>
        <item x="20"/>
        <item x="59"/>
        <item x="64"/>
        <item x="24"/>
        <item x="26"/>
        <item x="58"/>
        <item x="7"/>
        <item x="44"/>
        <item x="18"/>
        <item x="48"/>
        <item x="89"/>
        <item x="22"/>
        <item x="34"/>
        <item x="13"/>
        <item x="3"/>
        <item x="85"/>
        <item x="86"/>
        <item x="45"/>
        <item x="23"/>
        <item x="31"/>
        <item x="76"/>
        <item x="80"/>
        <item x="81"/>
        <item x="55"/>
        <item x="10"/>
        <item x="14"/>
        <item x="43"/>
        <item x="36"/>
        <item x="49"/>
        <item x="87"/>
        <item x="67"/>
        <item x="27"/>
        <item x="68"/>
        <item x="53"/>
        <item x="91"/>
        <item x="19"/>
        <item x="77"/>
        <item x="1"/>
        <item x="50"/>
        <item x="42"/>
        <item x="65"/>
        <item x="71"/>
        <item x="75"/>
        <item x="56"/>
        <item x="37"/>
        <item x="92"/>
        <item x="9"/>
        <item x="16"/>
        <item x="40"/>
        <item x="21"/>
        <item x="74"/>
        <item x="72"/>
        <item x="11"/>
        <item x="0"/>
        <item x="41"/>
        <item x="17"/>
        <item x="83"/>
        <item x="5"/>
        <item x="82"/>
        <item x="32"/>
        <item x="25"/>
        <item x="73"/>
        <item x="61"/>
        <item x="8"/>
        <item x="88"/>
        <item x="35"/>
        <item x="47"/>
        <item x="29"/>
        <item x="57"/>
        <item x="15"/>
        <item x="12"/>
        <item x="90"/>
        <item x="38"/>
        <item x="51"/>
        <item x="52"/>
        <item x="84"/>
        <item x="30"/>
        <item x="4"/>
        <item x="60"/>
        <item x="6"/>
        <item x="54"/>
        <item x="70"/>
        <item x="78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6"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5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2" hier="-1"/>
  </pageFields>
  <dataFields count="3">
    <dataField name=" TOTAL COST " fld="25" baseField="5" baseItem="0"/>
    <dataField name=" FACTURACIO" fld="26" baseField="5" baseItem="0"/>
    <dataField name=" % LOG&amp;FACT" fld="28" baseField="5" baseItem="0" numFmtId="10"/>
  </dataFields>
  <formats count="8"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5" type="button" dataOnly="0" labelOnly="1" outline="0" axis="axisRow" fieldPosition="0"/>
    </format>
    <format dxfId="60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3"/>
            <x v="44"/>
            <x v="45"/>
            <x v="46"/>
            <x v="47"/>
            <x v="48"/>
            <x v="49"/>
            <x v="50"/>
            <x v="51"/>
            <x v="54"/>
            <x v="55"/>
            <x v="56"/>
            <x v="57"/>
          </reference>
        </references>
      </pivotArea>
    </format>
    <format dxfId="59">
      <pivotArea dataOnly="0" labelOnly="1" fieldPosition="0">
        <references count="1">
          <reference field="5" count="28">
            <x v="58"/>
            <x v="59"/>
            <x v="60"/>
            <x v="61"/>
            <x v="63"/>
            <x v="64"/>
            <x v="65"/>
            <x v="66"/>
            <x v="67"/>
            <x v="68"/>
            <x v="70"/>
            <x v="71"/>
            <x v="72"/>
            <x v="73"/>
            <x v="74"/>
            <x v="75"/>
            <x v="76"/>
            <x v="78"/>
            <x v="79"/>
            <x v="80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58">
      <pivotArea dataOnly="0" labelOnly="1" grandRow="1" outline="0" fieldPosition="0"/>
    </format>
    <format dxfId="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726B4-E088-4A96-8EB2-0942EFDA91B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M19" firstHeaderRow="0" firstDataRow="1" firstDataCol="1"/>
  <pivotFields count="38">
    <pivotField numFmtId="14" showAll="0"/>
    <pivotField numFmtId="17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26">
        <item x="11"/>
        <item x="6"/>
        <item m="1" x="24"/>
        <item x="0"/>
        <item x="3"/>
        <item x="2"/>
        <item x="13"/>
        <item m="1" x="23"/>
        <item x="14"/>
        <item x="15"/>
        <item x="9"/>
        <item m="1" x="21"/>
        <item x="5"/>
        <item x="12"/>
        <item m="1" x="22"/>
        <item h="1" x="8"/>
        <item x="1"/>
        <item x="7"/>
        <item x="10"/>
        <item h="1" x="4"/>
        <item h="1" x="16"/>
        <item h="1" x="17"/>
        <item h="1" x="18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6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dragToRow="0" dragToCol="0" dragToPage="0" showAll="0" defaultSubtotal="0"/>
  </pivotFields>
  <rowFields count="1">
    <field x="4"/>
  </rowFields>
  <rowItems count="15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 COST " fld="25" baseField="4" baseItem="0" numFmtId="164"/>
    <dataField name=" FACTURACIO" fld="26" baseField="4" baseItem="0"/>
    <dataField name="Suma de % COST" fld="37" baseField="0" baseItem="0" numFmtId="10"/>
  </dataFields>
  <formats count="2">
    <format dxfId="66">
      <pivotArea outline="0" collapsedLevelsAreSubtotals="1" fieldPosition="0"/>
    </format>
    <format dxfId="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1DCD1-C76E-4DFD-B9FE-5CB74B05566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G9" firstHeaderRow="1" firstDataRow="2" firstDataCol="1"/>
  <pivotFields count="31">
    <pivotField numFmtId="14" showAll="0"/>
    <pivotField axis="axisRow" numFmtId="17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8">
        <item m="1" x="6"/>
        <item x="1"/>
        <item x="4"/>
        <item x="2"/>
        <item x="0"/>
        <item x="3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6" showAll="0"/>
    <pivotField dragToRow="0" dragToCol="0" dragToPage="0" showAll="0" defaultSubtota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a de TOTAL COST " fld="25" baseField="0" baseItem="0" numFmtId="164"/>
  </dataFields>
  <formats count="15">
    <format dxfId="14">
      <pivotArea grandRow="1" grandCol="1" outline="0" collapsedLevelsAreSubtotals="1" fieldPosition="0"/>
    </format>
    <format dxfId="13">
      <pivotArea field="2" grandRow="1" outline="0" collapsedLevelsAreSubtotals="1" axis="axisCol" fieldPosition="0">
        <references count="1">
          <reference field="2" count="1" selected="0">
            <x v="2"/>
          </reference>
        </references>
      </pivotArea>
    </format>
    <format dxfId="12">
      <pivotArea field="2" grandRow="1" outline="0" collapsedLevelsAreSubtotals="1" axis="axisCol" fieldPosition="0">
        <references count="1">
          <reference field="2" count="1" selected="0">
            <x v="1"/>
          </reference>
        </references>
      </pivotArea>
    </format>
    <format dxfId="11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10">
      <pivotArea grandRow="1"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2" count="1">
            <x v="1"/>
          </reference>
        </references>
      </pivotArea>
    </format>
    <format dxfId="0">
      <pivotArea outline="0" collapsedLevelsAreSubtotals="1" fieldPosition="0"/>
    </format>
  </formats>
  <chartFormats count="41">
    <chartFormat chart="8" format="25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26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27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8" format="28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8" format="29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8" format="30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8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8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8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8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8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8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8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8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8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8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8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8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8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8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8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"/>
          </reference>
        </references>
      </pivotArea>
    </chartFormat>
    <chartFormat chart="8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8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8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8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"/>
          </reference>
        </references>
      </pivotArea>
    </chartFormat>
    <chartFormat chart="8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8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8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8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8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8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"/>
          </reference>
        </references>
      </pivotArea>
    </chartFormat>
    <chartFormat chart="8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"/>
          </reference>
        </references>
      </pivotArea>
    </chartFormat>
    <chartFormat chart="8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"/>
          </reference>
        </references>
      </pivotArea>
    </chartFormat>
    <chartFormat chart="8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8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F1688-157C-4826-ADDA-BF4D71AC65ED}" name="Tabla1" displayName="Tabla1" ref="A1:AB233" totalsRowShown="0" headerRowDxfId="56" headerRowBorderDxfId="55" tableBorderDxfId="54" totalsRowBorderDxfId="53">
  <autoFilter ref="A1:AB233" xr:uid="{415F1688-157C-4826-ADDA-BF4D71AC65ED}"/>
  <tableColumns count="28">
    <tableColumn id="1" xr3:uid="{950245C7-4CA5-482F-89A3-4E60F43365E6}" name="DATA" dataDxfId="52"/>
    <tableColumn id="2" xr3:uid="{1BA39689-4329-4F26-9394-3EEADD44B84F}" name="MESOS" dataDxfId="51"/>
    <tableColumn id="3" xr3:uid="{F80209C9-0011-493D-8561-44FDF84F6D00}" name="GRUP" dataDxfId="50"/>
    <tableColumn id="26" xr3:uid="{8CD0030D-A39F-4365-8740-669834CE9F42}" name="ESPAI" dataDxfId="49"/>
    <tableColumn id="27" xr3:uid="{9C7DEFE2-EB8A-47E3-880A-A9A92A3694EB}" name="TIPUS DE SERVEI" dataDxfId="48"/>
    <tableColumn id="4" xr3:uid="{89B8E67D-DAAE-4F94-8D3F-AB899178CC9C}" name="LLOC DEL SERVEI" dataDxfId="47"/>
    <tableColumn id="23" xr3:uid="{9F924FF9-ECB9-4430-B8AA-8BB24D1ED87C}" name="NOM DEL SERVEI" dataDxfId="46"/>
    <tableColumn id="5" xr3:uid="{1B0ED3B7-2F2D-4051-AC50-B5D542022FB1}" name="GESTIÓ LOGÍSTICA" dataDxfId="45"/>
    <tableColumn id="6" xr3:uid="{E07FA052-7910-4560-A425-2B4F27B3DCA1}" name="PREPARACIÓ" dataDxfId="44"/>
    <tableColumn id="7" xr3:uid="{B5C6A766-4470-4C6F-8C23-8C4CAA50D085}" name="PERSONAL DE RENTAT" dataDxfId="43"/>
    <tableColumn id="28" xr3:uid="{4D20637F-576D-4CE4-BD1E-7B0922B8D523}" name="COMPLEMENT_x000a_RESPONSABLE EVENT" dataDxfId="42"/>
    <tableColumn id="8" xr3:uid="{B42AB536-891A-4841-9454-9F9E58C50BC8}" name="PERSONAL SERVEI_x000a_LOGÍSTICS" dataDxfId="41"/>
    <tableColumn id="9" xr3:uid="{019D6060-8D00-4EF0-B8E2-3B9400BAAA73}" name="HORES SERVEI" dataDxfId="40"/>
    <tableColumn id="10" xr3:uid="{772EEC5B-E240-4D34-A874-CC0868B446DF}" name="PERSONAL TRANSPORT_x000a_LOGÍSTICS" dataDxfId="39"/>
    <tableColumn id="11" xr3:uid="{A84BCFC2-3119-446C-8936-5B8D193DDDDD}" name="HORES" dataDxfId="38"/>
    <tableColumn id="12" xr3:uid="{A19A80DE-F244-4B00-93F4-9197538E666B}" name="TOTAL HORES" dataDxfId="37">
      <calculatedColumnFormula>(L2*M2)+(N2*O2)</calculatedColumnFormula>
    </tableColumn>
    <tableColumn id="25" xr3:uid="{FE315289-E4A0-41B3-BA26-D3AC45AA1680}" name="LLOGUER_x000a_VEHICLES" dataDxfId="36"/>
    <tableColumn id="24" xr3:uid="{6FF4E148-3A18-429B-9F43-5BB4404FC29E}" name="MANTENIMENT_x000a_VEHICLES" dataDxfId="35"/>
    <tableColumn id="13" xr3:uid="{C11C0B47-32D9-4EC1-B408-B52E7D48DEEF}" name="CAMIONS_x000a_GRAN" dataDxfId="34"/>
    <tableColumn id="14" xr3:uid="{2C758B71-2AA1-4EA2-99D2-5717EDE66A4B}" name="KM" dataDxfId="33"/>
    <tableColumn id="15" xr3:uid="{53C2B173-807A-4625-BA71-7397CD95BEFE}" name="CAMIONS_x000a_CUINA" dataDxfId="32"/>
    <tableColumn id="16" xr3:uid="{1D4EA210-AAA7-4D90-9BEB-3CB5D486EDCD}" name="KM2" dataDxfId="31"/>
    <tableColumn id="17" xr3:uid="{FADC5A8E-F748-446E-8D99-33A0AC52F6B4}" name="CAMIONS_x000a_PETIT" dataDxfId="30"/>
    <tableColumn id="18" xr3:uid="{4446FDED-A402-47FD-BC14-6CFBFAA13ACE}" name="KM3" dataDxfId="29"/>
    <tableColumn id="19" xr3:uid="{3F87DEE7-7F98-455B-B24B-03CA34DEE2AF}" name="TOTAL _x000a_KM" dataDxfId="28">
      <calculatedColumnFormula>(S2*T2)+(W2*X2)+(U2*V2)</calculatedColumnFormula>
    </tableColumn>
    <tableColumn id="20" xr3:uid="{928FA794-45FD-412E-8ED0-BD1CE113B2A5}" name="TOTAL COST " dataDxfId="27">
      <calculatedColumnFormula>((P2*$AF$7)+(Y2*$AF$8/100)*$AG$7)</calculatedColumnFormula>
    </tableColumn>
    <tableColumn id="21" xr3:uid="{BECEAEAB-3CF2-4D4E-AEBF-45CA84FD46BC}" name="FACTURACIO" dataDxfId="26"/>
    <tableColumn id="22" xr3:uid="{152DB11E-9CBD-4FE5-9302-46CB6D533278}" name="%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9DF6-D91B-44C7-B481-FE327492D2CC}">
  <dimension ref="A1:AH233"/>
  <sheetViews>
    <sheetView topLeftCell="G1" zoomScaleNormal="100" workbookViewId="0">
      <selection activeCell="H2" sqref="H2"/>
    </sheetView>
  </sheetViews>
  <sheetFormatPr baseColWidth="10" defaultColWidth="11.44140625" defaultRowHeight="14.4" x14ac:dyDescent="0.3"/>
  <cols>
    <col min="2" max="2" width="12" style="63" customWidth="1"/>
    <col min="3" max="3" width="13.5546875" bestFit="1" customWidth="1"/>
    <col min="4" max="4" width="14.6640625" bestFit="1" customWidth="1"/>
    <col min="5" max="5" width="19.88671875" bestFit="1" customWidth="1"/>
    <col min="6" max="6" width="25.5546875" bestFit="1" customWidth="1"/>
    <col min="7" max="7" width="112" bestFit="1" customWidth="1"/>
    <col min="8" max="8" width="10.33203125" bestFit="1" customWidth="1"/>
    <col min="9" max="9" width="14.44140625" customWidth="1"/>
    <col min="11" max="11" width="16.44140625" customWidth="1"/>
    <col min="16" max="18" width="15" customWidth="1"/>
    <col min="21" max="21" width="12.88671875" customWidth="1"/>
    <col min="23" max="23" width="10.6640625" customWidth="1"/>
    <col min="26" max="26" width="11.109375" bestFit="1" customWidth="1"/>
    <col min="27" max="27" width="14.5546875" customWidth="1"/>
    <col min="32" max="32" width="14.6640625" bestFit="1" customWidth="1"/>
  </cols>
  <sheetData>
    <row r="1" spans="1:34" ht="43.2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5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7" t="s">
        <v>15</v>
      </c>
      <c r="Q1" s="17" t="s">
        <v>16</v>
      </c>
      <c r="R1" s="17" t="s">
        <v>17</v>
      </c>
      <c r="S1" s="18" t="s">
        <v>18</v>
      </c>
      <c r="T1" s="19" t="s">
        <v>19</v>
      </c>
      <c r="U1" s="18" t="s">
        <v>20</v>
      </c>
      <c r="V1" s="19" t="s">
        <v>21</v>
      </c>
      <c r="W1" s="18" t="s">
        <v>22</v>
      </c>
      <c r="X1" s="19" t="s">
        <v>23</v>
      </c>
      <c r="Y1" s="17" t="s">
        <v>24</v>
      </c>
      <c r="Z1" s="20" t="s">
        <v>25</v>
      </c>
      <c r="AA1" s="20" t="s">
        <v>26</v>
      </c>
      <c r="AB1" s="21" t="s">
        <v>27</v>
      </c>
      <c r="AC1" s="8"/>
      <c r="AD1" s="1"/>
      <c r="AE1" s="1"/>
      <c r="AF1" s="4" t="s">
        <v>28</v>
      </c>
      <c r="AG1" s="1"/>
      <c r="AH1" s="2"/>
    </row>
    <row r="2" spans="1:34" x14ac:dyDescent="0.3">
      <c r="A2" s="22">
        <v>45295</v>
      </c>
      <c r="B2" s="23">
        <v>45292</v>
      </c>
      <c r="C2" s="24" t="s">
        <v>29</v>
      </c>
      <c r="D2" s="24" t="s">
        <v>30</v>
      </c>
      <c r="E2" s="24" t="s">
        <v>31</v>
      </c>
      <c r="F2" s="25" t="s">
        <v>32</v>
      </c>
      <c r="G2" s="6" t="s">
        <v>33</v>
      </c>
      <c r="H2" s="70">
        <f>(VLOOKUP(B2,$AD$12:$AG$17,2,0)*AB2)</f>
        <v>150.53160417380218</v>
      </c>
      <c r="I2" s="72">
        <f>(VLOOKUP(B2,$AD$12:$AG$17,3,0)*AB2)</f>
        <v>166.61611410472486</v>
      </c>
      <c r="J2" s="37">
        <f>(VLOOKUP(B2,$AD$12:$AG$17,4,0)*AB2)</f>
        <v>120.11763353420123</v>
      </c>
      <c r="K2" s="27">
        <v>0</v>
      </c>
      <c r="L2" s="26">
        <v>4</v>
      </c>
      <c r="M2" s="26">
        <v>17.72</v>
      </c>
      <c r="N2" s="26">
        <v>4</v>
      </c>
      <c r="O2" s="26">
        <v>0</v>
      </c>
      <c r="P2" s="27">
        <f>(L2*M2)+(N2*O2)</f>
        <v>70.88</v>
      </c>
      <c r="Q2" s="27">
        <v>0</v>
      </c>
      <c r="R2" s="27">
        <v>35.83</v>
      </c>
      <c r="S2" s="26">
        <v>0</v>
      </c>
      <c r="T2" s="25">
        <v>96</v>
      </c>
      <c r="U2" s="26">
        <v>1</v>
      </c>
      <c r="V2" s="25">
        <v>96</v>
      </c>
      <c r="W2" s="26">
        <v>4</v>
      </c>
      <c r="X2" s="25">
        <v>96</v>
      </c>
      <c r="Y2" s="27">
        <f>(S2*T2)+(W2*X2)+(U2*V2)</f>
        <v>480</v>
      </c>
      <c r="Z2" s="28">
        <f>((P2*$AF$7)+(Y2*$AF$8/100)*$AG$7)+Events!$H2+Events!$I2+Events!$J2+Events!$R2+Events!$Q2+Tabla1[[#This Row],[COMPLEMENT
RESPONSABLE EVENT]]</f>
        <v>1875.9433518127282</v>
      </c>
      <c r="AA2" s="43">
        <v>12342</v>
      </c>
      <c r="AB2" s="29">
        <f>AA2/SUM($AA$2:$AA$38)</f>
        <v>2.7902213390213877E-2</v>
      </c>
      <c r="AC2" s="7"/>
      <c r="AF2" s="5"/>
      <c r="AH2" s="3"/>
    </row>
    <row r="3" spans="1:34" x14ac:dyDescent="0.3">
      <c r="A3" s="48">
        <v>45298</v>
      </c>
      <c r="B3" s="30">
        <v>45292</v>
      </c>
      <c r="C3" s="31" t="s">
        <v>34</v>
      </c>
      <c r="D3" s="31" t="s">
        <v>30</v>
      </c>
      <c r="E3" s="31" t="s">
        <v>35</v>
      </c>
      <c r="F3" s="32" t="s">
        <v>36</v>
      </c>
      <c r="G3" s="6" t="s">
        <v>37</v>
      </c>
      <c r="H3" s="70">
        <f t="shared" ref="H3:H38" si="0">(VLOOKUP(B3,$AD$12:$AG$17,2,0)*AB3)</f>
        <v>53.287358502296357</v>
      </c>
      <c r="I3" s="72">
        <f>(VLOOKUP(B3,$AD$12:$AG$17,3,0)*AB3)</f>
        <v>58.981186397953564</v>
      </c>
      <c r="J3" s="37">
        <f t="shared" ref="J3:J38" si="1">(VLOOKUP(B3,$AD$12:$AG$17,4,0)*AB3)</f>
        <v>42.520980465963795</v>
      </c>
      <c r="K3" s="33">
        <v>0</v>
      </c>
      <c r="L3" s="66">
        <v>1</v>
      </c>
      <c r="M3" s="66">
        <v>12.75</v>
      </c>
      <c r="N3" s="66">
        <v>0</v>
      </c>
      <c r="O3" s="66">
        <v>0</v>
      </c>
      <c r="P3" s="33">
        <f t="shared" ref="P3:P61" si="2">(L3*M3)+(N3*O3)</f>
        <v>12.75</v>
      </c>
      <c r="Q3" s="33">
        <v>0</v>
      </c>
      <c r="R3" s="33">
        <v>35.83</v>
      </c>
      <c r="S3" s="66">
        <v>0</v>
      </c>
      <c r="T3" s="32">
        <v>96</v>
      </c>
      <c r="U3" s="66">
        <v>1</v>
      </c>
      <c r="V3" s="32">
        <v>96</v>
      </c>
      <c r="W3" s="66">
        <v>1</v>
      </c>
      <c r="X3" s="32">
        <v>96</v>
      </c>
      <c r="Y3" s="33">
        <f t="shared" ref="Y3:Y5" si="3">(S3*T3)+(W3*X3)+(U3*V3)</f>
        <v>192</v>
      </c>
      <c r="Z3" s="49">
        <f>((P3*$AF$7)+(Y3*$AF$8/100)*$AG$7)+Events!$H3+Events!$I3+Events!$J3+Events!$R3+Events!$Q3+Tabla1[[#This Row],[COMPLEMENT
RESPONSABLE EVENT]]</f>
        <v>470.92272536621368</v>
      </c>
      <c r="AA3" s="50">
        <v>4369</v>
      </c>
      <c r="AB3" s="29">
        <f t="shared" ref="AB3:AB38" si="4">AA3/SUM($AA$2:$AA$38)</f>
        <v>9.8772298089324605E-3</v>
      </c>
      <c r="AC3" s="7"/>
      <c r="AF3" s="5"/>
      <c r="AH3" s="3"/>
    </row>
    <row r="4" spans="1:34" x14ac:dyDescent="0.3">
      <c r="A4" s="22">
        <v>45299</v>
      </c>
      <c r="B4" s="23">
        <v>45292</v>
      </c>
      <c r="C4" s="24" t="s">
        <v>34</v>
      </c>
      <c r="D4" s="31" t="s">
        <v>30</v>
      </c>
      <c r="E4" s="31" t="s">
        <v>38</v>
      </c>
      <c r="F4" s="25" t="s">
        <v>39</v>
      </c>
      <c r="G4" s="40" t="s">
        <v>40</v>
      </c>
      <c r="H4" s="70">
        <f t="shared" si="0"/>
        <v>55.351039220673236</v>
      </c>
      <c r="I4" s="72">
        <f t="shared" ref="I4:I38" si="5">(VLOOKUP(B4,$AD$12:$AG$17,3,0)*AB4)</f>
        <v>61.265374252962438</v>
      </c>
      <c r="J4" s="37">
        <f t="shared" si="1"/>
        <v>44.167707381697618</v>
      </c>
      <c r="K4" s="27">
        <v>0</v>
      </c>
      <c r="L4" s="26">
        <v>1</v>
      </c>
      <c r="M4" s="26">
        <v>13.8</v>
      </c>
      <c r="N4" s="26">
        <v>0</v>
      </c>
      <c r="O4" s="26">
        <v>0</v>
      </c>
      <c r="P4" s="27">
        <f t="shared" si="2"/>
        <v>13.8</v>
      </c>
      <c r="Q4" s="27">
        <v>0</v>
      </c>
      <c r="R4" s="27">
        <v>35.83</v>
      </c>
      <c r="S4" s="26">
        <v>0</v>
      </c>
      <c r="T4" s="25">
        <v>112</v>
      </c>
      <c r="U4" s="26">
        <v>1</v>
      </c>
      <c r="V4" s="25">
        <v>112</v>
      </c>
      <c r="W4" s="26">
        <v>1</v>
      </c>
      <c r="X4" s="25">
        <v>112</v>
      </c>
      <c r="Y4" s="27">
        <f t="shared" si="3"/>
        <v>224</v>
      </c>
      <c r="Z4" s="28">
        <f>((P4*$AF$7)+(Y4*$AF$8/100)*$AG$7)+Events!$H4+Events!$I4+Events!$J4+Events!$R4+Events!$Q4+Tabla1[[#This Row],[COMPLEMENT
RESPONSABLE EVENT]]</f>
        <v>504.28452085533326</v>
      </c>
      <c r="AA4" s="43">
        <v>4538.2</v>
      </c>
      <c r="AB4" s="29">
        <f t="shared" si="4"/>
        <v>1.0259749214670931E-2</v>
      </c>
      <c r="AC4" s="7"/>
      <c r="AF4" s="5"/>
      <c r="AH4" s="3"/>
    </row>
    <row r="5" spans="1:34" x14ac:dyDescent="0.3">
      <c r="A5" s="48">
        <v>45300</v>
      </c>
      <c r="B5" s="30">
        <v>45292</v>
      </c>
      <c r="C5" s="31" t="s">
        <v>34</v>
      </c>
      <c r="D5" s="31" t="s">
        <v>30</v>
      </c>
      <c r="E5" s="31" t="s">
        <v>38</v>
      </c>
      <c r="F5" s="32" t="s">
        <v>39</v>
      </c>
      <c r="G5" s="40" t="s">
        <v>41</v>
      </c>
      <c r="H5" s="70">
        <f t="shared" si="0"/>
        <v>56.104794944052024</v>
      </c>
      <c r="I5" s="72">
        <f t="shared" si="5"/>
        <v>62.099669817025962</v>
      </c>
      <c r="J5" s="37">
        <f t="shared" si="1"/>
        <v>44.769171467940829</v>
      </c>
      <c r="K5" s="33">
        <v>0</v>
      </c>
      <c r="L5" s="66">
        <v>1</v>
      </c>
      <c r="M5" s="66">
        <v>12.3</v>
      </c>
      <c r="N5" s="66">
        <v>0</v>
      </c>
      <c r="O5" s="66">
        <v>0</v>
      </c>
      <c r="P5" s="33">
        <f t="shared" si="2"/>
        <v>12.3</v>
      </c>
      <c r="Q5" s="33">
        <v>0</v>
      </c>
      <c r="R5" s="33">
        <v>35.83</v>
      </c>
      <c r="S5" s="66">
        <v>0</v>
      </c>
      <c r="T5" s="32">
        <v>112</v>
      </c>
      <c r="U5" s="66">
        <v>1</v>
      </c>
      <c r="V5" s="32">
        <v>112</v>
      </c>
      <c r="W5" s="66">
        <v>1</v>
      </c>
      <c r="X5" s="32">
        <v>112</v>
      </c>
      <c r="Y5" s="33">
        <f t="shared" si="3"/>
        <v>224</v>
      </c>
      <c r="Z5" s="49">
        <f>((P5*$AF$7)+(Y5*$AF$8/100)*$AG$7)+Events!$H5+Events!$I5+Events!$J5+Events!$R5+Events!$Q5+Tabla1[[#This Row],[COMPLEMENT
RESPONSABLE EVENT]]</f>
        <v>479.47403622901885</v>
      </c>
      <c r="AA5" s="50">
        <v>4600</v>
      </c>
      <c r="AB5" s="29">
        <f t="shared" si="4"/>
        <v>1.039946374939101E-2</v>
      </c>
      <c r="AC5" s="7"/>
      <c r="AF5" s="5"/>
      <c r="AH5" s="3"/>
    </row>
    <row r="6" spans="1:34" x14ac:dyDescent="0.3">
      <c r="A6" s="48">
        <v>45300</v>
      </c>
      <c r="B6" s="30">
        <v>45292</v>
      </c>
      <c r="C6" s="31" t="s">
        <v>34</v>
      </c>
      <c r="D6" s="31" t="s">
        <v>30</v>
      </c>
      <c r="E6" s="31" t="s">
        <v>35</v>
      </c>
      <c r="F6" s="27" t="s">
        <v>42</v>
      </c>
      <c r="G6" s="40" t="s">
        <v>43</v>
      </c>
      <c r="H6" s="70">
        <f t="shared" si="0"/>
        <v>103.67190370096569</v>
      </c>
      <c r="I6" s="72">
        <f t="shared" si="5"/>
        <v>114.74938987928709</v>
      </c>
      <c r="J6" s="37">
        <f t="shared" si="1"/>
        <v>82.725642929890654</v>
      </c>
      <c r="K6" s="27">
        <v>0</v>
      </c>
      <c r="L6" s="27">
        <v>1</v>
      </c>
      <c r="M6" s="27">
        <v>10</v>
      </c>
      <c r="N6" s="27">
        <v>2</v>
      </c>
      <c r="O6" s="27">
        <v>3</v>
      </c>
      <c r="P6" s="27">
        <f>(L6*M6)+(N6*O6)</f>
        <v>16</v>
      </c>
      <c r="Q6" s="42">
        <v>0</v>
      </c>
      <c r="R6" s="27">
        <v>35.83</v>
      </c>
      <c r="S6" s="27">
        <v>1</v>
      </c>
      <c r="T6" s="27">
        <v>20</v>
      </c>
      <c r="U6" s="27">
        <v>1</v>
      </c>
      <c r="V6" s="27">
        <v>20</v>
      </c>
      <c r="W6" s="27">
        <v>0</v>
      </c>
      <c r="X6" s="27">
        <v>20</v>
      </c>
      <c r="Y6" s="27">
        <f>(S6*T6)+(W6*X6)+(U6*V6)</f>
        <v>40</v>
      </c>
      <c r="Z6" s="28">
        <f>((P6*$AF$7)+(Y6*$AF$8/100)*$AG$7)+Events!$H6+Events!$I6+Events!$J6+Events!$R6+Events!$Q6+Tabla1[[#This Row],[COMPLEMENT
RESPONSABLE EVENT]]</f>
        <v>635.56093651014351</v>
      </c>
      <c r="AA6" s="43">
        <v>8500</v>
      </c>
      <c r="AB6" s="29">
        <f t="shared" si="4"/>
        <v>1.9216400406483387E-2</v>
      </c>
      <c r="AC6" s="7"/>
      <c r="AF6" s="5"/>
      <c r="AH6" s="3"/>
    </row>
    <row r="7" spans="1:34" x14ac:dyDescent="0.3">
      <c r="A7" s="35">
        <v>45302</v>
      </c>
      <c r="B7" s="30">
        <v>45292</v>
      </c>
      <c r="C7" s="31" t="s">
        <v>34</v>
      </c>
      <c r="D7" s="31" t="s">
        <v>30</v>
      </c>
      <c r="E7" s="31" t="s">
        <v>44</v>
      </c>
      <c r="F7" s="33" t="s">
        <v>45</v>
      </c>
      <c r="G7" s="40" t="s">
        <v>46</v>
      </c>
      <c r="H7" s="70">
        <f t="shared" si="0"/>
        <v>473.6952230515418</v>
      </c>
      <c r="I7" s="72">
        <f t="shared" si="5"/>
        <v>524.31021225079439</v>
      </c>
      <c r="J7" s="37">
        <f t="shared" si="1"/>
        <v>377.98806118954042</v>
      </c>
      <c r="K7" s="33">
        <v>0</v>
      </c>
      <c r="L7" s="33">
        <v>3</v>
      </c>
      <c r="M7" s="33">
        <v>13</v>
      </c>
      <c r="N7" s="33">
        <v>3</v>
      </c>
      <c r="O7" s="33">
        <v>5</v>
      </c>
      <c r="P7" s="33">
        <f t="shared" si="2"/>
        <v>54</v>
      </c>
      <c r="Q7" s="33">
        <v>0</v>
      </c>
      <c r="R7" s="33">
        <v>35.83</v>
      </c>
      <c r="S7" s="33">
        <v>2</v>
      </c>
      <c r="T7" s="33">
        <v>20</v>
      </c>
      <c r="U7" s="33">
        <v>8</v>
      </c>
      <c r="V7" s="33">
        <v>20</v>
      </c>
      <c r="W7" s="33">
        <v>6</v>
      </c>
      <c r="X7" s="33">
        <v>20</v>
      </c>
      <c r="Y7" s="33">
        <f>(S7*T7)+(W7*X7)+(U7*V7)</f>
        <v>320</v>
      </c>
      <c r="Z7" s="49">
        <f>((P7*$AF$7)+(Y7*$AF$8/100)*$AG$7)+Events!$H7+Events!$I7+Events!$J7+Events!$R7+Events!$Q7+Tabla1[[#This Row],[COMPLEMENT
RESPONSABLE EVENT]]</f>
        <v>2468.4954964918766</v>
      </c>
      <c r="AA7" s="50">
        <v>38838</v>
      </c>
      <c r="AB7" s="29">
        <f t="shared" si="4"/>
        <v>8.7803124586706097E-2</v>
      </c>
      <c r="AC7" s="7"/>
      <c r="AD7" s="5" t="s">
        <v>47</v>
      </c>
      <c r="AF7" s="67">
        <v>18</v>
      </c>
      <c r="AG7">
        <v>1.47</v>
      </c>
      <c r="AH7" s="68" t="s">
        <v>48</v>
      </c>
    </row>
    <row r="8" spans="1:34" x14ac:dyDescent="0.3">
      <c r="A8" s="35">
        <v>45302</v>
      </c>
      <c r="B8" s="30">
        <v>45292</v>
      </c>
      <c r="C8" s="31" t="s">
        <v>34</v>
      </c>
      <c r="D8" s="31" t="s">
        <v>30</v>
      </c>
      <c r="E8" s="31" t="s">
        <v>35</v>
      </c>
      <c r="F8" s="33" t="s">
        <v>49</v>
      </c>
      <c r="G8" s="40" t="s">
        <v>50</v>
      </c>
      <c r="H8" s="70">
        <f t="shared" si="0"/>
        <v>269.76649012446575</v>
      </c>
      <c r="I8" s="72">
        <f t="shared" si="5"/>
        <v>298.59141239412611</v>
      </c>
      <c r="J8" s="37">
        <f t="shared" si="1"/>
        <v>215.26185533215548</v>
      </c>
      <c r="K8" s="27">
        <v>0</v>
      </c>
      <c r="L8" s="33">
        <v>4</v>
      </c>
      <c r="M8" s="36">
        <v>13.5</v>
      </c>
      <c r="N8" s="33">
        <v>1</v>
      </c>
      <c r="O8" s="33">
        <v>4</v>
      </c>
      <c r="P8" s="33">
        <f t="shared" si="2"/>
        <v>58</v>
      </c>
      <c r="Q8" s="33">
        <v>0</v>
      </c>
      <c r="R8" s="27">
        <v>35.83</v>
      </c>
      <c r="S8" s="33">
        <v>0</v>
      </c>
      <c r="T8" s="33">
        <v>120</v>
      </c>
      <c r="U8" s="33">
        <v>2</v>
      </c>
      <c r="V8" s="33">
        <v>120</v>
      </c>
      <c r="W8" s="33">
        <v>4</v>
      </c>
      <c r="X8" s="33">
        <v>120</v>
      </c>
      <c r="Y8" s="33">
        <f t="shared" ref="Y8:Y61" si="6">(S8*T8)+(W8*X8)+(U8*V8)</f>
        <v>720</v>
      </c>
      <c r="Z8" s="28">
        <f>((P8*$AF$7)+(Y8*$AF$8/100)*$AG$7)+Events!$H8+Events!$I8+Events!$J8+Events!$R8+Events!$Q8+Tabla1[[#This Row],[COMPLEMENT
RESPONSABLE EVENT]]</f>
        <v>2053.9617578507473</v>
      </c>
      <c r="AA8" s="50">
        <v>22118</v>
      </c>
      <c r="AB8" s="29">
        <f t="shared" si="4"/>
        <v>5.000333461065877E-2</v>
      </c>
      <c r="AC8" s="7"/>
      <c r="AD8" s="5" t="s">
        <v>51</v>
      </c>
      <c r="AF8">
        <v>18</v>
      </c>
      <c r="AG8" t="s">
        <v>52</v>
      </c>
      <c r="AH8" s="3"/>
    </row>
    <row r="9" spans="1:34" x14ac:dyDescent="0.3">
      <c r="A9" s="35">
        <v>45304</v>
      </c>
      <c r="B9" s="30">
        <v>45292</v>
      </c>
      <c r="C9" s="31" t="s">
        <v>34</v>
      </c>
      <c r="D9" s="31" t="s">
        <v>30</v>
      </c>
      <c r="E9" s="31" t="s">
        <v>44</v>
      </c>
      <c r="F9" s="32" t="s">
        <v>53</v>
      </c>
      <c r="G9" s="40" t="s">
        <v>54</v>
      </c>
      <c r="H9" s="70">
        <f t="shared" si="0"/>
        <v>147.22629994992434</v>
      </c>
      <c r="I9" s="72">
        <f t="shared" si="5"/>
        <v>162.95763355680879</v>
      </c>
      <c r="J9" s="37">
        <f t="shared" si="1"/>
        <v>117.48014538902473</v>
      </c>
      <c r="K9" s="33">
        <v>0</v>
      </c>
      <c r="L9" s="33">
        <v>2</v>
      </c>
      <c r="M9" s="36">
        <v>13</v>
      </c>
      <c r="N9" s="33">
        <v>0</v>
      </c>
      <c r="O9" s="33">
        <v>0</v>
      </c>
      <c r="P9" s="33">
        <f t="shared" si="2"/>
        <v>26</v>
      </c>
      <c r="Q9" s="33">
        <v>0</v>
      </c>
      <c r="R9" s="33">
        <v>35.83</v>
      </c>
      <c r="S9" s="33">
        <v>0</v>
      </c>
      <c r="T9" s="33">
        <v>132</v>
      </c>
      <c r="U9" s="33">
        <v>1</v>
      </c>
      <c r="V9" s="33">
        <v>132</v>
      </c>
      <c r="W9" s="33">
        <v>1</v>
      </c>
      <c r="X9" s="33">
        <v>132</v>
      </c>
      <c r="Y9" s="33">
        <f t="shared" si="6"/>
        <v>264</v>
      </c>
      <c r="Z9" s="49">
        <f>((P9*$AF$7)+(Y9*$AF$8/100)*$AG$7)+Events!$H9+Events!$I9+Events!$J9+Events!$R9+Events!$Q9+Tabla1[[#This Row],[COMPLEMENT
RESPONSABLE EVENT]]</f>
        <v>1001.3484788957579</v>
      </c>
      <c r="AA9" s="50">
        <v>12071</v>
      </c>
      <c r="AB9" s="29">
        <f t="shared" si="4"/>
        <v>2.7289549330195409E-2</v>
      </c>
      <c r="AC9" s="7"/>
      <c r="AD9" s="5"/>
    </row>
    <row r="10" spans="1:34" x14ac:dyDescent="0.3">
      <c r="A10" s="35">
        <v>45305</v>
      </c>
      <c r="B10" s="30">
        <v>45292</v>
      </c>
      <c r="C10" s="31" t="s">
        <v>34</v>
      </c>
      <c r="D10" s="31" t="s">
        <v>30</v>
      </c>
      <c r="E10" s="31" t="s">
        <v>55</v>
      </c>
      <c r="F10" s="32" t="s">
        <v>56</v>
      </c>
      <c r="G10" s="40" t="s">
        <v>57</v>
      </c>
      <c r="H10" s="70">
        <f t="shared" si="0"/>
        <v>25.856992452476149</v>
      </c>
      <c r="I10" s="72">
        <f t="shared" si="5"/>
        <v>28.619847828716313</v>
      </c>
      <c r="J10" s="37">
        <f t="shared" si="1"/>
        <v>20.632748589572728</v>
      </c>
      <c r="K10" s="27">
        <v>0</v>
      </c>
      <c r="L10" s="33">
        <v>1</v>
      </c>
      <c r="M10" s="36">
        <v>10.9</v>
      </c>
      <c r="N10" s="33">
        <v>0</v>
      </c>
      <c r="O10" s="33">
        <v>0</v>
      </c>
      <c r="P10" s="33">
        <f t="shared" si="2"/>
        <v>10.9</v>
      </c>
      <c r="Q10" s="33">
        <v>0</v>
      </c>
      <c r="R10" s="27">
        <v>35.83</v>
      </c>
      <c r="S10" s="33">
        <v>0</v>
      </c>
      <c r="T10" s="33">
        <v>88</v>
      </c>
      <c r="U10" s="33">
        <v>1</v>
      </c>
      <c r="V10" s="33">
        <v>88</v>
      </c>
      <c r="W10" s="33">
        <v>1</v>
      </c>
      <c r="X10" s="33">
        <v>88</v>
      </c>
      <c r="Y10" s="33">
        <f t="shared" si="6"/>
        <v>176</v>
      </c>
      <c r="Z10" s="28">
        <f>((P10*$AF$7)+(Y10*$AF$8/100)*$AG$7)+Events!$H10+Events!$I10+Events!$J10+Events!$R10+Events!$Q10+Tabla1[[#This Row],[COMPLEMENT
RESPONSABLE EVENT]]</f>
        <v>353.70918887076522</v>
      </c>
      <c r="AA10" s="50">
        <v>2120</v>
      </c>
      <c r="AB10" s="29">
        <f t="shared" si="4"/>
        <v>4.7927963366758567E-3</v>
      </c>
      <c r="AC10" s="7"/>
      <c r="AD10" s="5"/>
    </row>
    <row r="11" spans="1:34" x14ac:dyDescent="0.3">
      <c r="A11" s="35">
        <v>45307</v>
      </c>
      <c r="B11" s="30">
        <v>45292</v>
      </c>
      <c r="C11" s="31" t="s">
        <v>34</v>
      </c>
      <c r="D11" s="31" t="s">
        <v>30</v>
      </c>
      <c r="E11" s="31" t="s">
        <v>44</v>
      </c>
      <c r="F11" s="32" t="s">
        <v>58</v>
      </c>
      <c r="G11" s="6" t="s">
        <v>59</v>
      </c>
      <c r="H11" s="70">
        <f t="shared" si="0"/>
        <v>259.15536586330813</v>
      </c>
      <c r="I11" s="72">
        <f t="shared" si="5"/>
        <v>286.8464748417756</v>
      </c>
      <c r="J11" s="37">
        <f t="shared" si="1"/>
        <v>206.79464246756669</v>
      </c>
      <c r="K11" s="33">
        <v>0</v>
      </c>
      <c r="L11" s="33">
        <v>2</v>
      </c>
      <c r="M11" s="36">
        <v>12</v>
      </c>
      <c r="N11" s="33">
        <v>0</v>
      </c>
      <c r="O11" s="33">
        <v>0</v>
      </c>
      <c r="P11" s="33">
        <f t="shared" si="2"/>
        <v>24</v>
      </c>
      <c r="Q11" s="33">
        <v>0</v>
      </c>
      <c r="R11" s="33">
        <v>35.83</v>
      </c>
      <c r="S11" s="33">
        <v>0</v>
      </c>
      <c r="T11" s="33">
        <v>120</v>
      </c>
      <c r="U11" s="33">
        <v>2</v>
      </c>
      <c r="V11" s="33">
        <v>120</v>
      </c>
      <c r="W11" s="33">
        <v>2</v>
      </c>
      <c r="X11" s="33">
        <v>120</v>
      </c>
      <c r="Y11" s="33">
        <f t="shared" si="6"/>
        <v>480</v>
      </c>
      <c r="Z11" s="49">
        <f>((P11*$AF$7)+(Y11*$AF$8/100)*$AG$7)+Events!$H11+Events!$I11+Events!$J11+Events!$R11+Events!$Q11+Tabla1[[#This Row],[COMPLEMENT
RESPONSABLE EVENT]]</f>
        <v>1347.6344831726503</v>
      </c>
      <c r="AA11" s="50">
        <v>21248</v>
      </c>
      <c r="AB11" s="29">
        <f t="shared" si="4"/>
        <v>4.8036479510230476E-2</v>
      </c>
      <c r="AC11" s="7"/>
      <c r="AD11" s="5"/>
      <c r="AE11" t="s">
        <v>60</v>
      </c>
      <c r="AF11" t="s">
        <v>8</v>
      </c>
      <c r="AG11" t="s">
        <v>61</v>
      </c>
    </row>
    <row r="12" spans="1:34" x14ac:dyDescent="0.3">
      <c r="A12" s="35">
        <v>45310</v>
      </c>
      <c r="B12" s="30">
        <v>45292</v>
      </c>
      <c r="C12" s="31" t="s">
        <v>34</v>
      </c>
      <c r="D12" s="31" t="s">
        <v>30</v>
      </c>
      <c r="E12" s="31" t="s">
        <v>44</v>
      </c>
      <c r="F12" s="32" t="s">
        <v>62</v>
      </c>
      <c r="G12" s="6" t="s">
        <v>63</v>
      </c>
      <c r="H12" s="70">
        <f t="shared" si="0"/>
        <v>199.59890636074155</v>
      </c>
      <c r="I12" s="72">
        <f t="shared" si="5"/>
        <v>220.92632533818039</v>
      </c>
      <c r="J12" s="37">
        <f t="shared" si="1"/>
        <v>159.27119371148947</v>
      </c>
      <c r="K12" s="27">
        <v>0</v>
      </c>
      <c r="L12" s="33">
        <v>2</v>
      </c>
      <c r="M12" s="36">
        <v>11.5</v>
      </c>
      <c r="N12" s="33">
        <v>4</v>
      </c>
      <c r="O12" s="33">
        <v>0</v>
      </c>
      <c r="P12" s="33">
        <f t="shared" si="2"/>
        <v>23</v>
      </c>
      <c r="Q12" s="33">
        <v>0</v>
      </c>
      <c r="R12" s="27">
        <v>35.83</v>
      </c>
      <c r="S12" s="33">
        <v>0</v>
      </c>
      <c r="T12" s="33">
        <v>123</v>
      </c>
      <c r="U12" s="33">
        <v>1</v>
      </c>
      <c r="V12" s="33">
        <v>123</v>
      </c>
      <c r="W12" s="33">
        <v>2</v>
      </c>
      <c r="X12" s="33">
        <v>123</v>
      </c>
      <c r="Y12" s="33">
        <f t="shared" si="6"/>
        <v>369</v>
      </c>
      <c r="Z12" s="28">
        <f>((P12*$AF$7)+(Y12*$AF$8/100)*$AG$7)+Events!$H12+Events!$I12+Events!$J12+Events!$R12+Events!$Q12+Tabla1[[#This Row],[COMPLEMENT
RESPONSABLE EVENT]]</f>
        <v>1127.2638254104113</v>
      </c>
      <c r="AA12" s="50">
        <v>16365</v>
      </c>
      <c r="AB12" s="29">
        <f t="shared" si="4"/>
        <v>3.6997222664953013E-2</v>
      </c>
      <c r="AC12" s="7"/>
      <c r="AD12" s="71">
        <v>45292</v>
      </c>
      <c r="AE12" s="60">
        <v>5394.97</v>
      </c>
      <c r="AF12" s="60">
        <v>5971.43</v>
      </c>
      <c r="AG12" s="60">
        <v>4304.95</v>
      </c>
    </row>
    <row r="13" spans="1:34" x14ac:dyDescent="0.3">
      <c r="A13" s="35">
        <v>45313</v>
      </c>
      <c r="B13" s="30">
        <v>45292</v>
      </c>
      <c r="C13" s="31" t="s">
        <v>34</v>
      </c>
      <c r="D13" s="31" t="s">
        <v>30</v>
      </c>
      <c r="E13" s="31" t="s">
        <v>44</v>
      </c>
      <c r="F13" s="32" t="s">
        <v>64</v>
      </c>
      <c r="G13" s="40" t="s">
        <v>65</v>
      </c>
      <c r="H13" s="70">
        <f t="shared" si="0"/>
        <v>63.361828203119614</v>
      </c>
      <c r="I13" s="72">
        <f t="shared" si="5"/>
        <v>70.132127108576057</v>
      </c>
      <c r="J13" s="37">
        <f t="shared" si="1"/>
        <v>50.559966473033171</v>
      </c>
      <c r="K13" s="33">
        <v>0</v>
      </c>
      <c r="L13" s="33">
        <v>1</v>
      </c>
      <c r="M13" s="36">
        <v>10.3</v>
      </c>
      <c r="N13" s="33">
        <v>0</v>
      </c>
      <c r="O13" s="33">
        <v>0</v>
      </c>
      <c r="P13" s="33">
        <f t="shared" si="2"/>
        <v>10.3</v>
      </c>
      <c r="Q13" s="33">
        <v>0</v>
      </c>
      <c r="R13" s="33">
        <v>35.83</v>
      </c>
      <c r="S13" s="33">
        <v>0</v>
      </c>
      <c r="T13" s="33">
        <v>122</v>
      </c>
      <c r="U13" s="33">
        <v>1</v>
      </c>
      <c r="V13" s="33">
        <v>122</v>
      </c>
      <c r="W13" s="33">
        <v>1</v>
      </c>
      <c r="X13" s="33">
        <v>122</v>
      </c>
      <c r="Y13" s="33">
        <f t="shared" si="6"/>
        <v>244</v>
      </c>
      <c r="Z13" s="49">
        <f>((P13*$AF$7)+(Y13*$AF$8/100)*$AG$7)+Events!$H13+Events!$I13+Events!$J13+Events!$R13+Events!$Q13+Tabla1[[#This Row],[COMPLEMENT
RESPONSABLE EVENT]]</f>
        <v>469.84632178472884</v>
      </c>
      <c r="AA13" s="50">
        <v>5195</v>
      </c>
      <c r="AB13" s="29">
        <f t="shared" si="4"/>
        <v>1.1744611777844846E-2</v>
      </c>
      <c r="AC13" s="7"/>
      <c r="AD13" s="71">
        <v>45323</v>
      </c>
      <c r="AE13" s="60">
        <v>5556.36</v>
      </c>
      <c r="AF13" s="60">
        <v>5801.08</v>
      </c>
      <c r="AG13" s="60">
        <v>4318.5600000000004</v>
      </c>
    </row>
    <row r="14" spans="1:34" x14ac:dyDescent="0.3">
      <c r="A14" s="35">
        <v>45313</v>
      </c>
      <c r="B14" s="30">
        <v>45292</v>
      </c>
      <c r="C14" s="31" t="s">
        <v>34</v>
      </c>
      <c r="D14" s="31" t="s">
        <v>30</v>
      </c>
      <c r="E14" s="31" t="s">
        <v>35</v>
      </c>
      <c r="F14" s="32" t="s">
        <v>36</v>
      </c>
      <c r="G14" s="40" t="s">
        <v>66</v>
      </c>
      <c r="H14" s="70">
        <f t="shared" si="0"/>
        <v>22.807818814212453</v>
      </c>
      <c r="I14" s="72">
        <f t="shared" si="5"/>
        <v>25.244865773443163</v>
      </c>
      <c r="J14" s="37">
        <f t="shared" si="1"/>
        <v>18.199641444575946</v>
      </c>
      <c r="K14" s="27">
        <v>0</v>
      </c>
      <c r="L14" s="33">
        <v>0</v>
      </c>
      <c r="M14" s="36">
        <v>0</v>
      </c>
      <c r="N14" s="33">
        <v>0</v>
      </c>
      <c r="O14" s="33">
        <v>0</v>
      </c>
      <c r="P14" s="33">
        <f t="shared" si="2"/>
        <v>0</v>
      </c>
      <c r="Q14" s="33">
        <v>0</v>
      </c>
      <c r="R14" s="27">
        <v>35.83</v>
      </c>
      <c r="S14" s="33">
        <v>0</v>
      </c>
      <c r="T14" s="33">
        <v>96</v>
      </c>
      <c r="U14" s="33">
        <v>1</v>
      </c>
      <c r="V14" s="33">
        <v>96</v>
      </c>
      <c r="W14" s="33">
        <v>0</v>
      </c>
      <c r="X14" s="33">
        <v>96</v>
      </c>
      <c r="Y14" s="33">
        <f t="shared" si="6"/>
        <v>96</v>
      </c>
      <c r="Z14" s="28">
        <f>((P14*$AF$7)+(Y14*$AF$8/100)*$AG$7)+Events!$H14+Events!$I14+Events!$J14+Events!$R14+Events!$Q14+Tabla1[[#This Row],[COMPLEMENT
RESPONSABLE EVENT]]</f>
        <v>127.48392603223157</v>
      </c>
      <c r="AA14" s="50">
        <v>1870</v>
      </c>
      <c r="AB14" s="29">
        <f t="shared" si="4"/>
        <v>4.2276080894263456E-3</v>
      </c>
      <c r="AC14" s="7"/>
      <c r="AD14" s="71">
        <v>45352</v>
      </c>
      <c r="AE14" s="60">
        <v>6293.52</v>
      </c>
      <c r="AF14" s="60">
        <v>6141.96</v>
      </c>
      <c r="AG14" s="60">
        <v>4593.0600000000004</v>
      </c>
    </row>
    <row r="15" spans="1:34" x14ac:dyDescent="0.3">
      <c r="A15" s="35">
        <v>45314</v>
      </c>
      <c r="B15" s="30">
        <v>45292</v>
      </c>
      <c r="C15" s="31" t="s">
        <v>34</v>
      </c>
      <c r="D15" s="31" t="s">
        <v>67</v>
      </c>
      <c r="E15" s="31" t="s">
        <v>68</v>
      </c>
      <c r="F15" s="33" t="s">
        <v>69</v>
      </c>
      <c r="G15" s="40" t="s">
        <v>70</v>
      </c>
      <c r="H15" s="70">
        <f t="shared" si="0"/>
        <v>41.078467254688519</v>
      </c>
      <c r="I15" s="72">
        <f t="shared" si="5"/>
        <v>45.467758248639875</v>
      </c>
      <c r="J15" s="37">
        <f t="shared" si="1"/>
        <v>32.778819457396672</v>
      </c>
      <c r="K15" s="33">
        <v>0</v>
      </c>
      <c r="L15" s="33">
        <v>0</v>
      </c>
      <c r="M15" s="36">
        <v>0</v>
      </c>
      <c r="N15" s="33">
        <v>1</v>
      </c>
      <c r="O15" s="33">
        <v>3</v>
      </c>
      <c r="P15" s="33">
        <f>(L15*M15)+(N15*O15)</f>
        <v>3</v>
      </c>
      <c r="Q15" s="42">
        <v>0</v>
      </c>
      <c r="R15" s="33">
        <v>35.83</v>
      </c>
      <c r="S15" s="33">
        <v>0</v>
      </c>
      <c r="T15" s="33">
        <v>104</v>
      </c>
      <c r="U15" s="33">
        <v>1</v>
      </c>
      <c r="V15" s="33">
        <v>104</v>
      </c>
      <c r="W15" s="33">
        <v>1</v>
      </c>
      <c r="X15" s="33">
        <v>104</v>
      </c>
      <c r="Y15" s="33">
        <f>(S15*T15)+(W15*X15)+(U15*V15)</f>
        <v>208</v>
      </c>
      <c r="Z15" s="49">
        <f>((P15*$AF$7)+(Y15*$AF$8/100)*$AG$7)+Events!$H15+Events!$I15+Events!$J15+Events!$R15+Events!$Q15+Tabla1[[#This Row],[COMPLEMENT
RESPONSABLE EVENT]]</f>
        <v>264.19184496072506</v>
      </c>
      <c r="AA15" s="50">
        <v>3368</v>
      </c>
      <c r="AB15" s="29">
        <f t="shared" si="4"/>
        <v>7.6142160669454171E-3</v>
      </c>
      <c r="AC15" s="7"/>
      <c r="AD15" s="71">
        <v>45383</v>
      </c>
      <c r="AE15" s="60">
        <v>5683.95</v>
      </c>
      <c r="AF15" s="60">
        <v>7818.3</v>
      </c>
      <c r="AG15" s="60">
        <v>4803.75</v>
      </c>
    </row>
    <row r="16" spans="1:34" x14ac:dyDescent="0.3">
      <c r="A16" s="34">
        <v>45314</v>
      </c>
      <c r="B16" s="23">
        <v>45292</v>
      </c>
      <c r="C16" s="24" t="s">
        <v>34</v>
      </c>
      <c r="D16" s="31" t="s">
        <v>30</v>
      </c>
      <c r="E16" s="31" t="s">
        <v>44</v>
      </c>
      <c r="F16" s="25" t="s">
        <v>71</v>
      </c>
      <c r="G16" s="40" t="s">
        <v>72</v>
      </c>
      <c r="H16" s="70">
        <f t="shared" si="0"/>
        <v>236.85980822032394</v>
      </c>
      <c r="I16" s="72">
        <f t="shared" si="5"/>
        <v>262.1686060536183</v>
      </c>
      <c r="J16" s="37">
        <f t="shared" si="1"/>
        <v>189.00376302335016</v>
      </c>
      <c r="K16" s="27">
        <v>0</v>
      </c>
      <c r="L16" s="27">
        <v>2</v>
      </c>
      <c r="M16" s="37">
        <v>12.75</v>
      </c>
      <c r="N16" s="27">
        <v>0</v>
      </c>
      <c r="O16" s="27">
        <v>0</v>
      </c>
      <c r="P16" s="27">
        <f t="shared" si="2"/>
        <v>25.5</v>
      </c>
      <c r="Q16" s="27">
        <v>0</v>
      </c>
      <c r="R16" s="27">
        <v>35.83</v>
      </c>
      <c r="S16" s="27">
        <v>0</v>
      </c>
      <c r="T16" s="27">
        <v>116</v>
      </c>
      <c r="U16" s="27">
        <v>1</v>
      </c>
      <c r="V16" s="27">
        <v>116</v>
      </c>
      <c r="W16" s="27">
        <v>2</v>
      </c>
      <c r="X16" s="27">
        <v>116</v>
      </c>
      <c r="Y16" s="27">
        <f t="shared" si="6"/>
        <v>348</v>
      </c>
      <c r="Z16" s="28">
        <f>((P16*$AF$7)+(Y16*$AF$8/100)*$AG$7)+Events!$H16+Events!$I16+Events!$J16+Events!$R16+Events!$Q16+Tabla1[[#This Row],[COMPLEMENT
RESPONSABLE EVENT]]</f>
        <v>1274.9429772972921</v>
      </c>
      <c r="AA16" s="43">
        <v>19420</v>
      </c>
      <c r="AB16" s="29">
        <f t="shared" si="4"/>
        <v>4.3903823046342043E-2</v>
      </c>
      <c r="AC16" s="7"/>
      <c r="AD16" s="71">
        <v>45413</v>
      </c>
      <c r="AE16" s="60">
        <v>6577.12</v>
      </c>
      <c r="AF16" s="60">
        <v>8510</v>
      </c>
      <c r="AG16" s="60">
        <v>5978.4</v>
      </c>
    </row>
    <row r="17" spans="1:33" x14ac:dyDescent="0.3">
      <c r="A17" s="35">
        <v>45315</v>
      </c>
      <c r="B17" s="30">
        <v>45292</v>
      </c>
      <c r="C17" s="31" t="s">
        <v>34</v>
      </c>
      <c r="D17" s="31" t="s">
        <v>30</v>
      </c>
      <c r="E17" s="31" t="s">
        <v>35</v>
      </c>
      <c r="F17" s="32" t="s">
        <v>42</v>
      </c>
      <c r="G17" s="40" t="s">
        <v>73</v>
      </c>
      <c r="H17" s="70">
        <f t="shared" si="0"/>
        <v>170.2414625715387</v>
      </c>
      <c r="I17" s="72">
        <f t="shared" si="5"/>
        <v>188.43199811001051</v>
      </c>
      <c r="J17" s="37">
        <f t="shared" si="1"/>
        <v>135.84523811946045</v>
      </c>
      <c r="K17" s="33">
        <v>0</v>
      </c>
      <c r="L17" s="33">
        <v>2</v>
      </c>
      <c r="M17" s="36">
        <v>8.75</v>
      </c>
      <c r="N17" s="33">
        <v>2</v>
      </c>
      <c r="O17" s="33">
        <v>4</v>
      </c>
      <c r="P17" s="33">
        <f t="shared" si="2"/>
        <v>25.5</v>
      </c>
      <c r="Q17" s="33">
        <v>0</v>
      </c>
      <c r="R17" s="33">
        <v>35.83</v>
      </c>
      <c r="S17" s="33">
        <v>0</v>
      </c>
      <c r="T17" s="33">
        <v>20</v>
      </c>
      <c r="U17" s="33">
        <v>1</v>
      </c>
      <c r="V17" s="33">
        <v>20</v>
      </c>
      <c r="W17" s="33">
        <v>1</v>
      </c>
      <c r="X17" s="33">
        <v>20</v>
      </c>
      <c r="Y17" s="33">
        <f t="shared" si="6"/>
        <v>40</v>
      </c>
      <c r="Z17" s="49">
        <f>((P17*$AF$7)+(Y17*$AF$8/100)*$AG$7)+Events!$H17+Events!$I17+Events!$J17+Events!$R17+Events!$Q17+Tabla1[[#This Row],[COMPLEMENT
RESPONSABLE EVENT]]</f>
        <v>999.93269880100968</v>
      </c>
      <c r="AA17" s="50">
        <v>13958</v>
      </c>
      <c r="AB17" s="29">
        <f t="shared" si="4"/>
        <v>3.1555590220434721E-2</v>
      </c>
      <c r="AC17" s="7"/>
      <c r="AD17" s="71">
        <v>45444</v>
      </c>
      <c r="AE17" s="60">
        <v>8164.94</v>
      </c>
      <c r="AF17" s="60">
        <v>9360.8799999999992</v>
      </c>
      <c r="AG17" s="60">
        <v>6665.43</v>
      </c>
    </row>
    <row r="18" spans="1:33" x14ac:dyDescent="0.3">
      <c r="A18" s="35">
        <v>45315</v>
      </c>
      <c r="B18" s="30">
        <v>45292</v>
      </c>
      <c r="C18" s="31" t="s">
        <v>34</v>
      </c>
      <c r="D18" s="31" t="s">
        <v>67</v>
      </c>
      <c r="E18" s="31" t="s">
        <v>35</v>
      </c>
      <c r="F18" s="27" t="s">
        <v>69</v>
      </c>
      <c r="G18" s="40" t="s">
        <v>74</v>
      </c>
      <c r="H18" s="70">
        <f t="shared" si="0"/>
        <v>108.27005754746733</v>
      </c>
      <c r="I18" s="72">
        <f t="shared" si="5"/>
        <v>119.838862818639</v>
      </c>
      <c r="J18" s="37">
        <f t="shared" si="1"/>
        <v>86.394768504545809</v>
      </c>
      <c r="K18" s="27">
        <v>0</v>
      </c>
      <c r="L18" s="27">
        <v>0</v>
      </c>
      <c r="M18" s="37">
        <v>0</v>
      </c>
      <c r="N18" s="27">
        <v>1</v>
      </c>
      <c r="O18" s="27">
        <v>3</v>
      </c>
      <c r="P18" s="27">
        <f>(L18*M18)+(N18*O18)</f>
        <v>3</v>
      </c>
      <c r="Q18" s="42">
        <v>0</v>
      </c>
      <c r="R18" s="27">
        <v>35.83</v>
      </c>
      <c r="S18" s="27">
        <v>0</v>
      </c>
      <c r="T18" s="27">
        <v>104</v>
      </c>
      <c r="U18" s="27">
        <v>1</v>
      </c>
      <c r="V18" s="27">
        <v>104</v>
      </c>
      <c r="W18" s="27">
        <v>1</v>
      </c>
      <c r="X18" s="27">
        <v>104</v>
      </c>
      <c r="Y18" s="27">
        <f>(S18*T18)+(W18*X18)+(U18*V18)</f>
        <v>208</v>
      </c>
      <c r="Z18" s="28">
        <f>((P18*$AF$7)+(Y18*$AF$8/100)*$AG$7)+Events!$H18+Events!$I18+Events!$J18+Events!$R18+Events!$Q18+Tabla1[[#This Row],[COMPLEMENT
RESPONSABLE EVENT]]</f>
        <v>459.37048887065214</v>
      </c>
      <c r="AA18" s="43">
        <v>8877</v>
      </c>
      <c r="AB18" s="29">
        <f t="shared" si="4"/>
        <v>2.006870428333565E-2</v>
      </c>
      <c r="AC18" s="7"/>
      <c r="AD18" s="71">
        <v>45901</v>
      </c>
      <c r="AE18" s="60">
        <f>6709.19+2526.2</f>
        <v>9235.39</v>
      </c>
      <c r="AF18" s="60">
        <f>12949.74+2704.16</f>
        <v>15653.9</v>
      </c>
      <c r="AG18" s="60">
        <f>7399.83+2557.95</f>
        <v>9957.7799999999988</v>
      </c>
    </row>
    <row r="19" spans="1:33" x14ac:dyDescent="0.3">
      <c r="A19" s="35">
        <v>45315</v>
      </c>
      <c r="B19" s="30">
        <v>45292</v>
      </c>
      <c r="C19" s="31" t="s">
        <v>34</v>
      </c>
      <c r="D19" s="31" t="s">
        <v>67</v>
      </c>
      <c r="E19" s="31" t="s">
        <v>75</v>
      </c>
      <c r="F19" s="32" t="s">
        <v>76</v>
      </c>
      <c r="G19" s="6" t="s">
        <v>77</v>
      </c>
      <c r="H19" s="70">
        <f t="shared" si="0"/>
        <v>271.41304388912818</v>
      </c>
      <c r="I19" s="72">
        <f t="shared" si="5"/>
        <v>300.41390270397363</v>
      </c>
      <c r="J19" s="37">
        <f t="shared" si="1"/>
        <v>216.57573319045375</v>
      </c>
      <c r="K19" s="33">
        <v>0</v>
      </c>
      <c r="L19" s="33">
        <v>3</v>
      </c>
      <c r="M19" s="36">
        <v>10.3</v>
      </c>
      <c r="N19" s="33">
        <v>0</v>
      </c>
      <c r="O19" s="33">
        <v>0</v>
      </c>
      <c r="P19" s="33">
        <f t="shared" si="2"/>
        <v>30.900000000000002</v>
      </c>
      <c r="Q19" s="33">
        <v>0</v>
      </c>
      <c r="R19" s="33">
        <v>35.83</v>
      </c>
      <c r="S19" s="33">
        <v>0</v>
      </c>
      <c r="T19" s="33">
        <v>80</v>
      </c>
      <c r="U19" s="33">
        <v>1</v>
      </c>
      <c r="V19" s="33">
        <v>80</v>
      </c>
      <c r="W19" s="33">
        <v>2</v>
      </c>
      <c r="X19" s="33">
        <v>80</v>
      </c>
      <c r="Y19" s="33">
        <f t="shared" si="6"/>
        <v>240</v>
      </c>
      <c r="Z19" s="49">
        <f>((P19*$AF$7)+(Y19*$AF$8/100)*$AG$7)+Events!$H19+Events!$I19+Events!$J19+Events!$R19+Events!$Q19+Tabla1[[#This Row],[COMPLEMENT
RESPONSABLE EVENT]]</f>
        <v>1443.9366797835555</v>
      </c>
      <c r="AA19" s="50">
        <v>22253</v>
      </c>
      <c r="AB19" s="29">
        <f t="shared" si="4"/>
        <v>5.030853626417351E-2</v>
      </c>
      <c r="AC19" s="7"/>
      <c r="AD19" s="5"/>
    </row>
    <row r="20" spans="1:33" x14ac:dyDescent="0.3">
      <c r="A20" s="35">
        <v>45316</v>
      </c>
      <c r="B20" s="30">
        <v>45292</v>
      </c>
      <c r="C20" s="31" t="s">
        <v>34</v>
      </c>
      <c r="D20" s="31" t="s">
        <v>30</v>
      </c>
      <c r="E20" s="31" t="s">
        <v>38</v>
      </c>
      <c r="F20" s="32" t="s">
        <v>78</v>
      </c>
      <c r="G20" s="40" t="s">
        <v>79</v>
      </c>
      <c r="H20" s="70">
        <f t="shared" si="0"/>
        <v>36.492510102739921</v>
      </c>
      <c r="I20" s="72">
        <f t="shared" si="5"/>
        <v>40.391785237509055</v>
      </c>
      <c r="J20" s="37">
        <f t="shared" si="1"/>
        <v>29.119426311321508</v>
      </c>
      <c r="K20" s="27">
        <v>0</v>
      </c>
      <c r="L20" s="33">
        <v>1</v>
      </c>
      <c r="M20" s="36">
        <v>9.9499999999999993</v>
      </c>
      <c r="N20" s="33">
        <v>0</v>
      </c>
      <c r="O20" s="33">
        <v>0</v>
      </c>
      <c r="P20" s="33">
        <f t="shared" si="2"/>
        <v>9.9499999999999993</v>
      </c>
      <c r="Q20" s="33">
        <v>0</v>
      </c>
      <c r="R20" s="27">
        <v>35.83</v>
      </c>
      <c r="S20" s="33">
        <v>0</v>
      </c>
      <c r="T20" s="33">
        <v>120</v>
      </c>
      <c r="U20" s="33">
        <v>1</v>
      </c>
      <c r="V20" s="33">
        <v>120</v>
      </c>
      <c r="W20" s="33">
        <v>1</v>
      </c>
      <c r="X20" s="33">
        <v>120</v>
      </c>
      <c r="Y20" s="33">
        <f t="shared" si="6"/>
        <v>240</v>
      </c>
      <c r="Z20" s="28">
        <f>((P20*$AF$7)+(Y20*$AF$8/100)*$AG$7)+Events!$H20+Events!$I20+Events!$J20+Events!$R20+Events!$Q20+Tabla1[[#This Row],[COMPLEMENT
RESPONSABLE EVENT]]</f>
        <v>384.43772165157043</v>
      </c>
      <c r="AA20" s="50">
        <v>2992</v>
      </c>
      <c r="AB20" s="29">
        <f t="shared" si="4"/>
        <v>6.764172943082152E-3</v>
      </c>
      <c r="AC20" s="7"/>
      <c r="AD20" s="5"/>
    </row>
    <row r="21" spans="1:33" x14ac:dyDescent="0.3">
      <c r="A21" s="35">
        <v>45316</v>
      </c>
      <c r="B21" s="30">
        <v>45292</v>
      </c>
      <c r="C21" s="31" t="s">
        <v>34</v>
      </c>
      <c r="D21" s="31" t="s">
        <v>30</v>
      </c>
      <c r="E21" s="31" t="s">
        <v>75</v>
      </c>
      <c r="F21" s="32" t="s">
        <v>80</v>
      </c>
      <c r="G21" s="40" t="s">
        <v>81</v>
      </c>
      <c r="H21" s="70">
        <f t="shared" si="0"/>
        <v>162.21603755562865</v>
      </c>
      <c r="I21" s="72">
        <f t="shared" si="5"/>
        <v>179.54904534053156</v>
      </c>
      <c r="J21" s="37">
        <f t="shared" si="1"/>
        <v>129.4413001138289</v>
      </c>
      <c r="K21" s="33">
        <v>0</v>
      </c>
      <c r="L21" s="33">
        <v>2</v>
      </c>
      <c r="M21" s="36">
        <v>11.1</v>
      </c>
      <c r="N21" s="33">
        <v>2</v>
      </c>
      <c r="O21" s="33">
        <v>5.25</v>
      </c>
      <c r="P21" s="33">
        <f t="shared" si="2"/>
        <v>32.700000000000003</v>
      </c>
      <c r="Q21" s="33">
        <v>0</v>
      </c>
      <c r="R21" s="33">
        <v>35.83</v>
      </c>
      <c r="S21" s="33">
        <v>1</v>
      </c>
      <c r="T21" s="33">
        <v>118</v>
      </c>
      <c r="U21" s="33">
        <v>1</v>
      </c>
      <c r="V21" s="33">
        <v>118</v>
      </c>
      <c r="W21" s="33">
        <v>1</v>
      </c>
      <c r="X21" s="33">
        <v>118</v>
      </c>
      <c r="Y21" s="33">
        <f t="shared" si="6"/>
        <v>354</v>
      </c>
      <c r="Z21" s="49">
        <f>((P21*$AF$7)+(Y21*$AF$8/100)*$AG$7)+Events!$H21+Events!$I21+Events!$J21+Events!$R21+Events!$Q21+Tabla1[[#This Row],[COMPLEMENT
RESPONSABLE EVENT]]</f>
        <v>1189.304783009989</v>
      </c>
      <c r="AA21" s="50">
        <v>13300</v>
      </c>
      <c r="AB21" s="29">
        <f t="shared" si="4"/>
        <v>3.0068014753674006E-2</v>
      </c>
      <c r="AC21" s="7"/>
      <c r="AD21" s="5"/>
      <c r="AF21" s="67"/>
    </row>
    <row r="22" spans="1:33" x14ac:dyDescent="0.3">
      <c r="A22" s="35">
        <v>45317</v>
      </c>
      <c r="B22" s="30">
        <v>45292</v>
      </c>
      <c r="C22" s="31" t="s">
        <v>34</v>
      </c>
      <c r="D22" s="31" t="s">
        <v>30</v>
      </c>
      <c r="E22" s="31" t="s">
        <v>44</v>
      </c>
      <c r="F22" s="32" t="s">
        <v>82</v>
      </c>
      <c r="G22" s="40" t="s">
        <v>83</v>
      </c>
      <c r="H22" s="70">
        <f t="shared" si="0"/>
        <v>47.054847585685366</v>
      </c>
      <c r="I22" s="72">
        <f t="shared" si="5"/>
        <v>52.082723076975256</v>
      </c>
      <c r="J22" s="37">
        <f t="shared" si="1"/>
        <v>37.547709461590372</v>
      </c>
      <c r="K22" s="27">
        <v>0</v>
      </c>
      <c r="L22" s="33">
        <v>1</v>
      </c>
      <c r="M22" s="36">
        <v>13.35</v>
      </c>
      <c r="N22" s="33">
        <v>0</v>
      </c>
      <c r="O22" s="33">
        <v>0</v>
      </c>
      <c r="P22" s="33">
        <f t="shared" si="2"/>
        <v>13.35</v>
      </c>
      <c r="Q22" s="33">
        <v>0</v>
      </c>
      <c r="R22" s="27">
        <v>35.83</v>
      </c>
      <c r="S22" s="33">
        <v>0</v>
      </c>
      <c r="T22" s="33">
        <v>112</v>
      </c>
      <c r="U22" s="33">
        <v>1</v>
      </c>
      <c r="V22" s="33">
        <v>112</v>
      </c>
      <c r="W22" s="33">
        <v>1</v>
      </c>
      <c r="X22" s="33">
        <v>112</v>
      </c>
      <c r="Y22" s="33">
        <f t="shared" si="6"/>
        <v>224</v>
      </c>
      <c r="Z22" s="28">
        <f>((P22*$AF$7)+(Y22*$AF$8/100)*$AG$7)+Events!$H22+Events!$I22+Events!$J22+Events!$R22+Events!$Q22+Tabla1[[#This Row],[COMPLEMENT
RESPONSABLE EVENT]]</f>
        <v>472.08568012425098</v>
      </c>
      <c r="AA22" s="50">
        <v>3858</v>
      </c>
      <c r="AB22" s="29">
        <f t="shared" si="4"/>
        <v>8.7219850315544602E-3</v>
      </c>
      <c r="AC22" s="7"/>
      <c r="AD22" s="5"/>
    </row>
    <row r="23" spans="1:33" x14ac:dyDescent="0.3">
      <c r="A23" s="35">
        <v>45317</v>
      </c>
      <c r="B23" s="30">
        <v>45292</v>
      </c>
      <c r="C23" s="31" t="s">
        <v>34</v>
      </c>
      <c r="D23" s="31" t="s">
        <v>67</v>
      </c>
      <c r="E23" s="31" t="s">
        <v>68</v>
      </c>
      <c r="F23" s="33" t="s">
        <v>69</v>
      </c>
      <c r="G23" s="6" t="s">
        <v>84</v>
      </c>
      <c r="H23" s="70">
        <f t="shared" si="0"/>
        <v>143.77463539140982</v>
      </c>
      <c r="I23" s="72">
        <f t="shared" si="5"/>
        <v>159.13715387023956</v>
      </c>
      <c r="J23" s="37">
        <f t="shared" si="1"/>
        <v>114.72586810088836</v>
      </c>
      <c r="K23" s="33">
        <v>0</v>
      </c>
      <c r="L23" s="33">
        <v>0</v>
      </c>
      <c r="M23" s="36">
        <v>0</v>
      </c>
      <c r="N23" s="33">
        <v>1</v>
      </c>
      <c r="O23" s="33">
        <v>3</v>
      </c>
      <c r="P23" s="33">
        <f>(L23*M23)+(N23*O23)</f>
        <v>3</v>
      </c>
      <c r="Q23" s="42">
        <v>0</v>
      </c>
      <c r="R23" s="33">
        <v>35.83</v>
      </c>
      <c r="S23" s="33">
        <v>0</v>
      </c>
      <c r="T23" s="33">
        <v>104</v>
      </c>
      <c r="U23" s="33">
        <v>1</v>
      </c>
      <c r="V23" s="33">
        <v>104</v>
      </c>
      <c r="W23" s="33">
        <v>1</v>
      </c>
      <c r="X23" s="33">
        <v>104</v>
      </c>
      <c r="Y23" s="33">
        <f>(S23*T23)+(W23*X23)+(U23*V23)</f>
        <v>208</v>
      </c>
      <c r="Z23" s="49">
        <f>((P23*$AF$7)+(Y23*$AF$8/100)*$AG$7)+Events!$H23+Events!$I23+Events!$J23+Events!$R23+Events!$Q23+Tabla1[[#This Row],[COMPLEMENT
RESPONSABLE EVENT]]</f>
        <v>562.50445736253778</v>
      </c>
      <c r="AA23" s="50">
        <v>11788</v>
      </c>
      <c r="AB23" s="29">
        <f t="shared" si="4"/>
        <v>2.6649756234308961E-2</v>
      </c>
      <c r="AC23" s="7"/>
      <c r="AD23" s="5"/>
    </row>
    <row r="24" spans="1:33" x14ac:dyDescent="0.3">
      <c r="A24" s="34">
        <v>45317</v>
      </c>
      <c r="B24" s="30">
        <v>45292</v>
      </c>
      <c r="C24" s="31" t="s">
        <v>34</v>
      </c>
      <c r="D24" s="31" t="s">
        <v>30</v>
      </c>
      <c r="E24" s="31" t="s">
        <v>85</v>
      </c>
      <c r="F24" s="27" t="s">
        <v>86</v>
      </c>
      <c r="G24" s="6" t="s">
        <v>87</v>
      </c>
      <c r="H24" s="70">
        <f t="shared" si="0"/>
        <v>44.408164867672475</v>
      </c>
      <c r="I24" s="72">
        <f t="shared" si="5"/>
        <v>49.153238652998155</v>
      </c>
      <c r="J24" s="37">
        <f t="shared" si="1"/>
        <v>35.435772459733165</v>
      </c>
      <c r="K24" s="27">
        <v>0</v>
      </c>
      <c r="L24" s="27">
        <v>0</v>
      </c>
      <c r="M24" s="37">
        <v>0</v>
      </c>
      <c r="N24" s="27">
        <v>1</v>
      </c>
      <c r="O24" s="27">
        <v>2</v>
      </c>
      <c r="P24" s="27">
        <f>(L24*M24)+(N24*O24)</f>
        <v>2</v>
      </c>
      <c r="Q24" s="42">
        <v>0</v>
      </c>
      <c r="R24" s="27">
        <v>35.83</v>
      </c>
      <c r="S24" s="27">
        <v>0</v>
      </c>
      <c r="T24" s="27">
        <v>26</v>
      </c>
      <c r="U24" s="27">
        <v>1</v>
      </c>
      <c r="V24" s="27">
        <v>26</v>
      </c>
      <c r="W24" s="27">
        <v>1</v>
      </c>
      <c r="X24" s="27">
        <v>26</v>
      </c>
      <c r="Y24" s="27">
        <f>(S24*T24)+(W24*X24)+(U24*V24)</f>
        <v>52</v>
      </c>
      <c r="Z24" s="28">
        <f>((P24*$AF$7)+(Y24*$AF$8/100)*$AG$7)+Events!$H24+Events!$I24+Events!$J24+Events!$R24+Events!$Q24+Tabla1[[#This Row],[COMPLEMENT
RESPONSABLE EVENT]]</f>
        <v>214.58637598040377</v>
      </c>
      <c r="AA24" s="43">
        <v>3641</v>
      </c>
      <c r="AB24" s="29">
        <f t="shared" si="4"/>
        <v>8.231401632941884E-3</v>
      </c>
      <c r="AC24" s="7"/>
      <c r="AD24" s="5"/>
    </row>
    <row r="25" spans="1:33" x14ac:dyDescent="0.3">
      <c r="A25" s="35">
        <v>45317</v>
      </c>
      <c r="B25" s="30">
        <v>45292</v>
      </c>
      <c r="C25" s="31" t="s">
        <v>34</v>
      </c>
      <c r="D25" s="31" t="s">
        <v>30</v>
      </c>
      <c r="E25" s="31" t="s">
        <v>44</v>
      </c>
      <c r="F25" s="32" t="s">
        <v>82</v>
      </c>
      <c r="G25" s="6" t="s">
        <v>88</v>
      </c>
      <c r="H25" s="70">
        <f t="shared" si="0"/>
        <v>190.26843502765468</v>
      </c>
      <c r="I25" s="72">
        <f t="shared" si="5"/>
        <v>210.59888024904456</v>
      </c>
      <c r="J25" s="37">
        <f t="shared" si="1"/>
        <v>151.82588584779933</v>
      </c>
      <c r="K25" s="33">
        <v>0</v>
      </c>
      <c r="L25" s="33">
        <v>2</v>
      </c>
      <c r="M25" s="36">
        <v>13.4</v>
      </c>
      <c r="N25" s="33">
        <v>0</v>
      </c>
      <c r="O25" s="33">
        <v>0</v>
      </c>
      <c r="P25" s="33">
        <f t="shared" si="2"/>
        <v>26.8</v>
      </c>
      <c r="Q25" s="33">
        <v>0</v>
      </c>
      <c r="R25" s="33">
        <v>35.83</v>
      </c>
      <c r="S25" s="33">
        <v>0</v>
      </c>
      <c r="T25" s="33">
        <v>112</v>
      </c>
      <c r="U25" s="33">
        <v>1</v>
      </c>
      <c r="V25" s="33">
        <v>112</v>
      </c>
      <c r="W25" s="33">
        <v>2</v>
      </c>
      <c r="X25" s="33">
        <v>112</v>
      </c>
      <c r="Y25" s="33">
        <f t="shared" si="6"/>
        <v>336</v>
      </c>
      <c r="Z25" s="49">
        <f>((P25*$AF$7)+(Y25*$AF$8/100)*$AG$7)+Events!$H25+Events!$I25+Events!$J25+Events!$R25+Events!$Q25+Tabla1[[#This Row],[COMPLEMENT
RESPONSABLE EVENT]]</f>
        <v>1159.8288011244986</v>
      </c>
      <c r="AA25" s="50">
        <v>15600</v>
      </c>
      <c r="AB25" s="29">
        <f t="shared" si="4"/>
        <v>3.5267746628369512E-2</v>
      </c>
      <c r="AC25" s="7"/>
      <c r="AD25" s="5"/>
    </row>
    <row r="26" spans="1:33" x14ac:dyDescent="0.3">
      <c r="A26" s="35">
        <v>45318</v>
      </c>
      <c r="B26" s="30">
        <v>45292</v>
      </c>
      <c r="C26" s="31" t="s">
        <v>34</v>
      </c>
      <c r="D26" s="31" t="s">
        <v>30</v>
      </c>
      <c r="E26" s="31" t="s">
        <v>44</v>
      </c>
      <c r="F26" s="32" t="s">
        <v>82</v>
      </c>
      <c r="G26" s="40" t="s">
        <v>89</v>
      </c>
      <c r="H26" s="70">
        <f t="shared" si="0"/>
        <v>82.266704760354543</v>
      </c>
      <c r="I26" s="72">
        <f t="shared" si="5"/>
        <v>91.057015851269597</v>
      </c>
      <c r="J26" s="37">
        <f t="shared" si="1"/>
        <v>65.645230772013235</v>
      </c>
      <c r="K26" s="27">
        <v>0</v>
      </c>
      <c r="L26" s="33">
        <v>1</v>
      </c>
      <c r="M26" s="36">
        <v>10.85</v>
      </c>
      <c r="N26" s="33">
        <v>0</v>
      </c>
      <c r="O26" s="33">
        <v>0</v>
      </c>
      <c r="P26" s="33">
        <f t="shared" si="2"/>
        <v>10.85</v>
      </c>
      <c r="Q26" s="33">
        <v>0</v>
      </c>
      <c r="R26" s="27">
        <v>35.83</v>
      </c>
      <c r="S26" s="33">
        <v>0</v>
      </c>
      <c r="T26" s="33">
        <v>112</v>
      </c>
      <c r="U26" s="33">
        <v>1</v>
      </c>
      <c r="V26" s="33">
        <v>112</v>
      </c>
      <c r="W26" s="33">
        <v>1</v>
      </c>
      <c r="X26" s="33">
        <v>112</v>
      </c>
      <c r="Y26" s="33">
        <f t="shared" si="6"/>
        <v>224</v>
      </c>
      <c r="Z26" s="28">
        <f>((P26*$AF$7)+(Y26*$AF$8/100)*$AG$7)+Events!$H26+Events!$I26+Events!$J26+Events!$R26+Events!$Q26+Tabla1[[#This Row],[COMPLEMENT
RESPONSABLE EVENT]]</f>
        <v>529.36935138363731</v>
      </c>
      <c r="AA26" s="50">
        <v>6745</v>
      </c>
      <c r="AB26" s="29">
        <f t="shared" si="4"/>
        <v>1.5248778910791818E-2</v>
      </c>
      <c r="AC26" s="7"/>
      <c r="AD26" s="5"/>
    </row>
    <row r="27" spans="1:33" x14ac:dyDescent="0.3">
      <c r="A27" s="35">
        <v>45318</v>
      </c>
      <c r="B27" s="30">
        <v>45292</v>
      </c>
      <c r="C27" s="31" t="s">
        <v>34</v>
      </c>
      <c r="D27" s="31" t="s">
        <v>67</v>
      </c>
      <c r="E27" s="31" t="s">
        <v>44</v>
      </c>
      <c r="F27" s="33" t="s">
        <v>69</v>
      </c>
      <c r="G27" s="40" t="s">
        <v>90</v>
      </c>
      <c r="H27" s="70">
        <f t="shared" si="0"/>
        <v>220.69918793752637</v>
      </c>
      <c r="I27" s="72">
        <f t="shared" si="5"/>
        <v>244.28120116067061</v>
      </c>
      <c r="J27" s="37">
        <f t="shared" si="1"/>
        <v>176.10829515486722</v>
      </c>
      <c r="K27" s="33">
        <v>0</v>
      </c>
      <c r="L27" s="33">
        <v>0</v>
      </c>
      <c r="M27" s="36">
        <v>0</v>
      </c>
      <c r="N27" s="33">
        <v>1</v>
      </c>
      <c r="O27" s="33">
        <v>3</v>
      </c>
      <c r="P27" s="33">
        <f>(L27*M27)+(N27*O27)</f>
        <v>3</v>
      </c>
      <c r="Q27" s="42">
        <v>0</v>
      </c>
      <c r="R27" s="33">
        <v>35.83</v>
      </c>
      <c r="S27" s="33">
        <v>0</v>
      </c>
      <c r="T27" s="33">
        <v>104</v>
      </c>
      <c r="U27" s="33">
        <v>1</v>
      </c>
      <c r="V27" s="33">
        <v>104</v>
      </c>
      <c r="W27" s="33">
        <v>1</v>
      </c>
      <c r="X27" s="33">
        <v>104</v>
      </c>
      <c r="Y27" s="33">
        <f>(S27*T27)+(W27*X27)+(U27*V27)</f>
        <v>208</v>
      </c>
      <c r="Z27" s="49">
        <f>((P27*$AF$7)+(Y27*$AF$8/100)*$AG$7)+Events!$H27+Events!$I27+Events!$J27+Events!$R27+Events!$Q27+Tabla1[[#This Row],[COMPLEMENT
RESPONSABLE EVENT]]</f>
        <v>785.95548425306413</v>
      </c>
      <c r="AA27" s="50">
        <v>18095</v>
      </c>
      <c r="AB27" s="29">
        <f t="shared" si="4"/>
        <v>4.0908325335919635E-2</v>
      </c>
      <c r="AC27" s="7"/>
      <c r="AD27" s="5"/>
    </row>
    <row r="28" spans="1:33" x14ac:dyDescent="0.3">
      <c r="A28" s="34">
        <v>45318</v>
      </c>
      <c r="B28" s="23">
        <v>45292</v>
      </c>
      <c r="C28" s="24" t="s">
        <v>34</v>
      </c>
      <c r="D28" s="24" t="s">
        <v>30</v>
      </c>
      <c r="E28" s="31" t="s">
        <v>55</v>
      </c>
      <c r="F28" s="25" t="s">
        <v>56</v>
      </c>
      <c r="G28" s="40" t="s">
        <v>57</v>
      </c>
      <c r="H28" s="70">
        <f t="shared" si="0"/>
        <v>25.856992452476149</v>
      </c>
      <c r="I28" s="72">
        <f t="shared" si="5"/>
        <v>28.619847828716313</v>
      </c>
      <c r="J28" s="37">
        <f t="shared" si="1"/>
        <v>20.632748589572728</v>
      </c>
      <c r="K28" s="27">
        <v>0</v>
      </c>
      <c r="L28" s="27">
        <v>1</v>
      </c>
      <c r="M28" s="37">
        <v>10.75</v>
      </c>
      <c r="N28" s="27">
        <v>0</v>
      </c>
      <c r="O28" s="27">
        <v>0</v>
      </c>
      <c r="P28" s="27">
        <f t="shared" si="2"/>
        <v>10.75</v>
      </c>
      <c r="Q28" s="27">
        <v>0</v>
      </c>
      <c r="R28" s="27">
        <v>35.83</v>
      </c>
      <c r="S28" s="27">
        <v>0</v>
      </c>
      <c r="T28" s="27">
        <v>88</v>
      </c>
      <c r="U28" s="27">
        <v>1</v>
      </c>
      <c r="V28" s="27">
        <v>88</v>
      </c>
      <c r="W28" s="27">
        <v>1</v>
      </c>
      <c r="X28" s="27">
        <v>88</v>
      </c>
      <c r="Y28" s="27">
        <f t="shared" si="6"/>
        <v>176</v>
      </c>
      <c r="Z28" s="28">
        <f>((P28*$AF$7)+(Y28*$AF$8/100)*$AG$7)+Events!$H28+Events!$I28+Events!$J28+Events!$R28+Events!$Q28+Tabla1[[#This Row],[COMPLEMENT
RESPONSABLE EVENT]]</f>
        <v>351.00918887076517</v>
      </c>
      <c r="AA28" s="43">
        <v>2120</v>
      </c>
      <c r="AB28" s="29">
        <f t="shared" si="4"/>
        <v>4.7927963366758567E-3</v>
      </c>
      <c r="AC28" s="7"/>
      <c r="AD28" s="5"/>
    </row>
    <row r="29" spans="1:33" x14ac:dyDescent="0.3">
      <c r="A29" s="35">
        <v>45320</v>
      </c>
      <c r="B29" s="30">
        <v>45292</v>
      </c>
      <c r="C29" s="31" t="s">
        <v>34</v>
      </c>
      <c r="D29" s="31" t="s">
        <v>30</v>
      </c>
      <c r="E29" s="31" t="s">
        <v>75</v>
      </c>
      <c r="F29" s="32" t="s">
        <v>91</v>
      </c>
      <c r="G29" s="6" t="s">
        <v>92</v>
      </c>
      <c r="H29" s="70">
        <f t="shared" si="0"/>
        <v>344.87373518217714</v>
      </c>
      <c r="I29" s="72">
        <f t="shared" si="5"/>
        <v>381.72397037961434</v>
      </c>
      <c r="J29" s="37">
        <f t="shared" si="1"/>
        <v>275.19415052771626</v>
      </c>
      <c r="K29" s="33">
        <v>0</v>
      </c>
      <c r="L29" s="33">
        <v>4</v>
      </c>
      <c r="M29" s="36">
        <v>17</v>
      </c>
      <c r="N29" s="33">
        <v>0</v>
      </c>
      <c r="O29" s="33">
        <v>0</v>
      </c>
      <c r="P29" s="33">
        <f t="shared" si="2"/>
        <v>68</v>
      </c>
      <c r="Q29" s="33">
        <v>0</v>
      </c>
      <c r="R29" s="33">
        <v>35.83</v>
      </c>
      <c r="S29" s="33">
        <v>0</v>
      </c>
      <c r="T29" s="33">
        <v>84</v>
      </c>
      <c r="U29" s="33">
        <v>1</v>
      </c>
      <c r="V29" s="33">
        <v>84</v>
      </c>
      <c r="W29" s="33">
        <v>4</v>
      </c>
      <c r="X29" s="33">
        <v>84</v>
      </c>
      <c r="Y29" s="33">
        <f t="shared" si="6"/>
        <v>420</v>
      </c>
      <c r="Z29" s="49">
        <f>((P29*$AF$7)+(Y29*$AF$8/100)*$AG$7)+Events!$H29+Events!$I29+Events!$J29+Events!$R29+Events!$Q29+Tabla1[[#This Row],[COMPLEMENT
RESPONSABLE EVENT]]</f>
        <v>2372.7538560895077</v>
      </c>
      <c r="AA29" s="50">
        <v>28276</v>
      </c>
      <c r="AB29" s="29">
        <f t="shared" si="4"/>
        <v>6.3925051516908735E-2</v>
      </c>
      <c r="AC29" s="7"/>
      <c r="AD29" s="5"/>
    </row>
    <row r="30" spans="1:33" x14ac:dyDescent="0.3">
      <c r="A30" s="34">
        <v>45320</v>
      </c>
      <c r="B30" s="23">
        <v>45292</v>
      </c>
      <c r="C30" s="24" t="s">
        <v>34</v>
      </c>
      <c r="D30" s="24" t="s">
        <v>30</v>
      </c>
      <c r="E30" s="24" t="s">
        <v>44</v>
      </c>
      <c r="F30" s="25" t="s">
        <v>93</v>
      </c>
      <c r="G30" s="6" t="s">
        <v>94</v>
      </c>
      <c r="H30" s="70">
        <f t="shared" si="0"/>
        <v>0</v>
      </c>
      <c r="I30" s="72">
        <f t="shared" si="5"/>
        <v>0</v>
      </c>
      <c r="J30" s="37">
        <f t="shared" si="1"/>
        <v>0</v>
      </c>
      <c r="K30" s="27">
        <v>0</v>
      </c>
      <c r="L30" s="27">
        <v>1</v>
      </c>
      <c r="M30" s="37">
        <v>8.3000000000000007</v>
      </c>
      <c r="N30" s="27">
        <v>0</v>
      </c>
      <c r="O30" s="27">
        <v>0</v>
      </c>
      <c r="P30" s="27">
        <f t="shared" si="2"/>
        <v>8.3000000000000007</v>
      </c>
      <c r="Q30" s="27">
        <v>0</v>
      </c>
      <c r="R30" s="27">
        <v>35.83</v>
      </c>
      <c r="S30" s="27">
        <v>0</v>
      </c>
      <c r="T30" s="27">
        <v>0</v>
      </c>
      <c r="U30" s="27">
        <v>1</v>
      </c>
      <c r="V30" s="27">
        <v>130</v>
      </c>
      <c r="W30" s="27">
        <v>1</v>
      </c>
      <c r="X30" s="27">
        <v>130</v>
      </c>
      <c r="Y30" s="27">
        <f t="shared" si="6"/>
        <v>260</v>
      </c>
      <c r="Z30" s="28">
        <f>((P30*$AF$7)+(Y30*$AF$8/100)*$AG$7)+Events!$H30+Events!$I30+Events!$J30+Events!$R30+Events!$Q30+Tabla1[[#This Row],[COMPLEMENT
RESPONSABLE EVENT]]</f>
        <v>254.02600000000001</v>
      </c>
      <c r="AA30" s="43">
        <v>0</v>
      </c>
      <c r="AB30" s="29">
        <f t="shared" si="4"/>
        <v>0</v>
      </c>
      <c r="AC30" s="7"/>
      <c r="AD30" s="5"/>
    </row>
    <row r="31" spans="1:33" x14ac:dyDescent="0.3">
      <c r="A31" s="35">
        <v>45321</v>
      </c>
      <c r="B31" s="30">
        <v>45292</v>
      </c>
      <c r="C31" s="31" t="s">
        <v>34</v>
      </c>
      <c r="D31" s="31" t="s">
        <v>30</v>
      </c>
      <c r="E31" s="31" t="s">
        <v>35</v>
      </c>
      <c r="F31" s="32" t="s">
        <v>95</v>
      </c>
      <c r="G31" s="6" t="s">
        <v>96</v>
      </c>
      <c r="H31" s="70">
        <f t="shared" si="0"/>
        <v>76.497668236759623</v>
      </c>
      <c r="I31" s="72">
        <f t="shared" si="5"/>
        <v>84.67154980269278</v>
      </c>
      <c r="J31" s="37">
        <f t="shared" si="1"/>
        <v>61.041792053679316</v>
      </c>
      <c r="K31" s="33">
        <v>0</v>
      </c>
      <c r="L31" s="33">
        <v>1</v>
      </c>
      <c r="M31" s="36">
        <v>9.5</v>
      </c>
      <c r="N31" s="33">
        <v>0</v>
      </c>
      <c r="O31" s="33">
        <v>0</v>
      </c>
      <c r="P31" s="33">
        <f t="shared" si="2"/>
        <v>9.5</v>
      </c>
      <c r="Q31" s="33">
        <v>0</v>
      </c>
      <c r="R31" s="33">
        <v>35.83</v>
      </c>
      <c r="S31" s="33">
        <v>0</v>
      </c>
      <c r="T31" s="33">
        <v>0</v>
      </c>
      <c r="U31" s="33">
        <v>1</v>
      </c>
      <c r="V31" s="33">
        <v>110</v>
      </c>
      <c r="W31" s="33">
        <v>1</v>
      </c>
      <c r="X31" s="33">
        <v>110</v>
      </c>
      <c r="Y31" s="33">
        <f t="shared" si="6"/>
        <v>220</v>
      </c>
      <c r="Z31" s="49">
        <f>((P31*$AF$7)+(Y31*$AF$8/100)*$AG$7)+Events!$H31+Events!$I31+Events!$J31+Events!$R31+Events!$Q31+Tabla1[[#This Row],[COMPLEMENT
RESPONSABLE EVENT]]</f>
        <v>487.25301009313171</v>
      </c>
      <c r="AA31" s="50">
        <v>6272</v>
      </c>
      <c r="AB31" s="29">
        <f t="shared" si="4"/>
        <v>1.4179442746995742E-2</v>
      </c>
      <c r="AC31" s="7"/>
      <c r="AD31" s="5"/>
    </row>
    <row r="32" spans="1:33" x14ac:dyDescent="0.3">
      <c r="A32" s="34">
        <v>45322</v>
      </c>
      <c r="B32" s="23">
        <v>45292</v>
      </c>
      <c r="C32" s="24" t="s">
        <v>34</v>
      </c>
      <c r="D32" s="24" t="s">
        <v>67</v>
      </c>
      <c r="E32" s="24" t="s">
        <v>44</v>
      </c>
      <c r="F32" s="25" t="s">
        <v>76</v>
      </c>
      <c r="G32" s="6" t="s">
        <v>92</v>
      </c>
      <c r="H32" s="70">
        <f t="shared" si="0"/>
        <v>300.96563479117992</v>
      </c>
      <c r="I32" s="72">
        <f t="shared" si="5"/>
        <v>333.12422878368096</v>
      </c>
      <c r="J32" s="37">
        <f t="shared" si="1"/>
        <v>240.15740763976257</v>
      </c>
      <c r="K32" s="27">
        <v>0</v>
      </c>
      <c r="L32" s="27">
        <v>3</v>
      </c>
      <c r="M32" s="37">
        <v>11.25</v>
      </c>
      <c r="N32" s="27">
        <v>0</v>
      </c>
      <c r="O32" s="27">
        <v>0</v>
      </c>
      <c r="P32" s="27">
        <f t="shared" si="2"/>
        <v>33.75</v>
      </c>
      <c r="Q32" s="27">
        <v>0</v>
      </c>
      <c r="R32" s="27">
        <v>35.83</v>
      </c>
      <c r="S32" s="27">
        <v>0</v>
      </c>
      <c r="T32" s="27">
        <v>80</v>
      </c>
      <c r="U32" s="27">
        <v>1</v>
      </c>
      <c r="V32" s="27">
        <v>80</v>
      </c>
      <c r="W32" s="27">
        <v>2</v>
      </c>
      <c r="X32" s="27">
        <v>80</v>
      </c>
      <c r="Y32" s="27">
        <f t="shared" si="6"/>
        <v>240</v>
      </c>
      <c r="Z32" s="28">
        <f>((P32*$AF$7)+(Y32*$AF$8/100)*$AG$7)+Events!$H32+Events!$I32+Events!$J32+Events!$R32+Events!$Q32+Tabla1[[#This Row],[COMPLEMENT
RESPONSABLE EVENT]]</f>
        <v>1581.0812712146235</v>
      </c>
      <c r="AA32" s="43">
        <v>24676</v>
      </c>
      <c r="AB32" s="29">
        <f t="shared" si="4"/>
        <v>5.578634075651577E-2</v>
      </c>
      <c r="AC32" s="7"/>
      <c r="AD32" s="5"/>
    </row>
    <row r="33" spans="1:30" x14ac:dyDescent="0.3">
      <c r="A33" s="35">
        <v>45322</v>
      </c>
      <c r="B33" s="30">
        <v>45292</v>
      </c>
      <c r="C33" s="31" t="s">
        <v>34</v>
      </c>
      <c r="D33" s="31" t="s">
        <v>30</v>
      </c>
      <c r="E33" s="31" t="s">
        <v>44</v>
      </c>
      <c r="F33" s="32" t="s">
        <v>97</v>
      </c>
      <c r="G33" s="6" t="s">
        <v>98</v>
      </c>
      <c r="H33" s="70">
        <f t="shared" si="0"/>
        <v>70.350534182020013</v>
      </c>
      <c r="I33" s="72">
        <f t="shared" si="5"/>
        <v>77.867585979262117</v>
      </c>
      <c r="J33" s="37">
        <f t="shared" si="1"/>
        <v>56.136648049365803</v>
      </c>
      <c r="K33" s="33">
        <v>0</v>
      </c>
      <c r="L33" s="33">
        <v>1</v>
      </c>
      <c r="M33" s="36">
        <v>8</v>
      </c>
      <c r="N33" s="33">
        <v>0</v>
      </c>
      <c r="O33" s="33">
        <v>0</v>
      </c>
      <c r="P33" s="33">
        <f t="shared" si="2"/>
        <v>8</v>
      </c>
      <c r="Q33" s="33">
        <v>0</v>
      </c>
      <c r="R33" s="33">
        <v>35.83</v>
      </c>
      <c r="S33" s="33">
        <v>0</v>
      </c>
      <c r="T33" s="33">
        <v>130</v>
      </c>
      <c r="U33" s="33">
        <v>1</v>
      </c>
      <c r="V33" s="33">
        <v>130</v>
      </c>
      <c r="W33" s="33">
        <v>1</v>
      </c>
      <c r="X33" s="33">
        <v>130</v>
      </c>
      <c r="Y33" s="33">
        <f t="shared" si="6"/>
        <v>260</v>
      </c>
      <c r="Z33" s="49">
        <f>((P33*$AF$7)+(Y33*$AF$8/100)*$AG$7)+Events!$H33+Events!$I33+Events!$J33+Events!$R33+Events!$Q33+Tabla1[[#This Row],[COMPLEMENT
RESPONSABLE EVENT]]</f>
        <v>452.98076821064791</v>
      </c>
      <c r="AA33" s="50">
        <v>5768</v>
      </c>
      <c r="AB33" s="29">
        <f t="shared" si="4"/>
        <v>1.3040023240540728E-2</v>
      </c>
      <c r="AC33" s="7"/>
      <c r="AD33" s="5"/>
    </row>
    <row r="34" spans="1:30" x14ac:dyDescent="0.3">
      <c r="A34" s="34">
        <v>45322</v>
      </c>
      <c r="B34" s="23">
        <v>45292</v>
      </c>
      <c r="C34" s="24" t="s">
        <v>34</v>
      </c>
      <c r="D34" s="24" t="s">
        <v>30</v>
      </c>
      <c r="E34" s="31" t="s">
        <v>35</v>
      </c>
      <c r="F34" s="25" t="s">
        <v>99</v>
      </c>
      <c r="G34" s="6" t="s">
        <v>100</v>
      </c>
      <c r="H34" s="70">
        <f t="shared" si="0"/>
        <v>110.53864273433554</v>
      </c>
      <c r="I34" s="72">
        <f t="shared" si="5"/>
        <v>122.34984946776224</v>
      </c>
      <c r="J34" s="37">
        <f t="shared" si="1"/>
        <v>88.205000220423415</v>
      </c>
      <c r="K34" s="27">
        <v>0</v>
      </c>
      <c r="L34" s="27">
        <v>1</v>
      </c>
      <c r="M34" s="37">
        <v>14.25</v>
      </c>
      <c r="N34" s="27">
        <v>2</v>
      </c>
      <c r="O34" s="27">
        <v>5.75</v>
      </c>
      <c r="P34" s="27">
        <f t="shared" si="2"/>
        <v>25.75</v>
      </c>
      <c r="Q34" s="27">
        <v>0</v>
      </c>
      <c r="R34" s="27">
        <v>35.83</v>
      </c>
      <c r="S34" s="27">
        <v>0</v>
      </c>
      <c r="T34" s="27">
        <v>150</v>
      </c>
      <c r="U34" s="27">
        <v>1</v>
      </c>
      <c r="V34" s="27">
        <v>150</v>
      </c>
      <c r="W34" s="27">
        <v>1</v>
      </c>
      <c r="X34" s="27">
        <v>150</v>
      </c>
      <c r="Y34" s="27">
        <f t="shared" si="6"/>
        <v>300</v>
      </c>
      <c r="Z34" s="28">
        <f>((P34*$AF$7)+(Y34*$AF$8/100)*$AG$7)+Events!$H34+Events!$I34+Events!$J34+Events!$R34+Events!$Q34+Tabla1[[#This Row],[COMPLEMENT
RESPONSABLE EVENT]]</f>
        <v>899.80349242252134</v>
      </c>
      <c r="AA34" s="43">
        <v>9063</v>
      </c>
      <c r="AB34" s="29">
        <f t="shared" si="4"/>
        <v>2.0489204339289288E-2</v>
      </c>
      <c r="AC34" s="7"/>
      <c r="AD34" s="5"/>
    </row>
    <row r="35" spans="1:30" x14ac:dyDescent="0.3">
      <c r="A35" s="35">
        <v>45322</v>
      </c>
      <c r="B35" s="30">
        <v>45292</v>
      </c>
      <c r="C35" s="31" t="s">
        <v>34</v>
      </c>
      <c r="D35" s="31" t="s">
        <v>30</v>
      </c>
      <c r="E35" s="31" t="s">
        <v>35</v>
      </c>
      <c r="F35" s="32" t="s">
        <v>101</v>
      </c>
      <c r="G35" s="6" t="s">
        <v>102</v>
      </c>
      <c r="H35" s="70">
        <f t="shared" si="0"/>
        <v>16.030115651079907</v>
      </c>
      <c r="I35" s="72">
        <f t="shared" si="5"/>
        <v>17.742955660982005</v>
      </c>
      <c r="J35" s="37">
        <f t="shared" si="1"/>
        <v>12.791330882677093</v>
      </c>
      <c r="K35" s="33">
        <v>0</v>
      </c>
      <c r="L35" s="33">
        <v>0</v>
      </c>
      <c r="M35" s="36">
        <v>0</v>
      </c>
      <c r="N35" s="33">
        <v>0</v>
      </c>
      <c r="O35" s="33">
        <v>0</v>
      </c>
      <c r="P35" s="33">
        <f t="shared" si="2"/>
        <v>0</v>
      </c>
      <c r="Q35" s="33">
        <v>0</v>
      </c>
      <c r="R35" s="33">
        <v>35.83</v>
      </c>
      <c r="S35" s="33">
        <v>0</v>
      </c>
      <c r="T35" s="33">
        <v>140</v>
      </c>
      <c r="U35" s="33">
        <v>1</v>
      </c>
      <c r="V35" s="33">
        <v>140</v>
      </c>
      <c r="W35" s="33">
        <v>0</v>
      </c>
      <c r="X35" s="33">
        <v>140</v>
      </c>
      <c r="Y35" s="33">
        <f t="shared" si="6"/>
        <v>140</v>
      </c>
      <c r="Z35" s="49">
        <f>((P35*$AF$7)+(Y35*$AF$8/100)*$AG$7)+Events!$H35+Events!$I35+Events!$J35+Events!$R35+Events!$Q35+Tabla1[[#This Row],[COMPLEMENT
RESPONSABLE EVENT]]</f>
        <v>119.438402194739</v>
      </c>
      <c r="AA35" s="50">
        <v>1314.3</v>
      </c>
      <c r="AB35" s="29">
        <f t="shared" si="4"/>
        <v>2.9713076534401313E-3</v>
      </c>
      <c r="AC35" s="7"/>
      <c r="AD35" s="5"/>
    </row>
    <row r="36" spans="1:30" x14ac:dyDescent="0.3">
      <c r="A36" s="34">
        <v>45322</v>
      </c>
      <c r="B36" s="23">
        <v>45292</v>
      </c>
      <c r="C36" s="24" t="s">
        <v>34</v>
      </c>
      <c r="D36" s="24" t="s">
        <v>30</v>
      </c>
      <c r="E36" s="24" t="s">
        <v>35</v>
      </c>
      <c r="F36" s="25" t="s">
        <v>103</v>
      </c>
      <c r="G36" s="6" t="s">
        <v>104</v>
      </c>
      <c r="H36" s="70">
        <f t="shared" si="0"/>
        <v>33.175009184309019</v>
      </c>
      <c r="I36" s="72">
        <f t="shared" si="5"/>
        <v>36.719804761371876</v>
      </c>
      <c r="J36" s="37">
        <f t="shared" si="1"/>
        <v>26.472205737565009</v>
      </c>
      <c r="K36" s="27">
        <v>0</v>
      </c>
      <c r="L36" s="27">
        <v>0</v>
      </c>
      <c r="M36" s="37">
        <v>0</v>
      </c>
      <c r="N36" s="27">
        <v>1</v>
      </c>
      <c r="O36" s="27">
        <v>2</v>
      </c>
      <c r="P36" s="27">
        <f t="shared" si="2"/>
        <v>2</v>
      </c>
      <c r="Q36" s="27">
        <v>0</v>
      </c>
      <c r="R36" s="27">
        <v>35.83</v>
      </c>
      <c r="S36" s="27">
        <v>0</v>
      </c>
      <c r="T36" s="27">
        <v>20</v>
      </c>
      <c r="U36" s="27">
        <v>1</v>
      </c>
      <c r="V36" s="27">
        <v>20</v>
      </c>
      <c r="W36" s="27">
        <v>0</v>
      </c>
      <c r="X36" s="27">
        <v>20</v>
      </c>
      <c r="Y36" s="27">
        <f t="shared" si="6"/>
        <v>20</v>
      </c>
      <c r="Z36" s="28">
        <f>((P36*$AF$7)+(Y36*$AF$8/100)*$AG$7)+Events!$H36+Events!$I36+Events!$J36+Events!$R36+Events!$Q36+Tabla1[[#This Row],[COMPLEMENT
RESPONSABLE EVENT]]</f>
        <v>173.48901968324589</v>
      </c>
      <c r="AA36" s="43">
        <v>2720</v>
      </c>
      <c r="AB36" s="29">
        <f t="shared" si="4"/>
        <v>6.1492481300746841E-3</v>
      </c>
      <c r="AC36" s="7"/>
      <c r="AD36" s="5"/>
    </row>
    <row r="37" spans="1:30" x14ac:dyDescent="0.3">
      <c r="A37" s="35">
        <v>45322</v>
      </c>
      <c r="B37" s="30">
        <v>45292</v>
      </c>
      <c r="C37" s="31" t="s">
        <v>34</v>
      </c>
      <c r="D37" s="31" t="s">
        <v>30</v>
      </c>
      <c r="E37" s="31" t="s">
        <v>38</v>
      </c>
      <c r="F37" s="33" t="s">
        <v>105</v>
      </c>
      <c r="G37" s="6" t="s">
        <v>106</v>
      </c>
      <c r="H37" s="70">
        <f t="shared" si="0"/>
        <v>556.65713940142041</v>
      </c>
      <c r="I37" s="72">
        <f t="shared" si="5"/>
        <v>616.13672401066628</v>
      </c>
      <c r="J37" s="37">
        <f t="shared" si="1"/>
        <v>444.18804039061291</v>
      </c>
      <c r="K37" s="33">
        <v>0</v>
      </c>
      <c r="L37" s="33">
        <v>0</v>
      </c>
      <c r="M37" s="36">
        <v>0</v>
      </c>
      <c r="N37" s="33">
        <v>6</v>
      </c>
      <c r="O37" s="33">
        <v>3</v>
      </c>
      <c r="P37" s="33">
        <f t="shared" ref="P37:P38" si="7">(L37*M37)+(N37*O37)</f>
        <v>18</v>
      </c>
      <c r="Q37" s="33">
        <v>0</v>
      </c>
      <c r="R37" s="33">
        <v>35.83</v>
      </c>
      <c r="S37" s="33">
        <v>0</v>
      </c>
      <c r="T37" s="33">
        <v>42</v>
      </c>
      <c r="U37" s="33">
        <v>11</v>
      </c>
      <c r="V37" s="33">
        <v>42</v>
      </c>
      <c r="W37" s="33">
        <v>6</v>
      </c>
      <c r="X37" s="33">
        <v>42</v>
      </c>
      <c r="Y37" s="33">
        <f t="shared" ref="Y37:Y38" si="8">(S37*T37)+(W37*X37)+(U37*V37)</f>
        <v>714</v>
      </c>
      <c r="Z37" s="49">
        <f>((P37*$AF$7)+(Y37*$AF$8/100)*$AG$7)+Events!$H37+Events!$I37+Events!$J37+Events!$R37+Events!$Q37+Tabla1[[#This Row],[COMPLEMENT
RESPONSABLE EVENT]]</f>
        <v>2165.7363038026992</v>
      </c>
      <c r="AA37" s="50">
        <v>45640</v>
      </c>
      <c r="AB37" s="29">
        <f t="shared" si="4"/>
        <v>0.1031807664178708</v>
      </c>
      <c r="AC37" s="7"/>
      <c r="AD37" s="5"/>
    </row>
    <row r="38" spans="1:30" x14ac:dyDescent="0.3">
      <c r="A38" s="34">
        <v>45322</v>
      </c>
      <c r="B38" s="23">
        <v>45292</v>
      </c>
      <c r="C38" s="24" t="s">
        <v>34</v>
      </c>
      <c r="D38" s="24" t="s">
        <v>67</v>
      </c>
      <c r="E38" s="24" t="s">
        <v>38</v>
      </c>
      <c r="F38" s="27" t="s">
        <v>107</v>
      </c>
      <c r="G38" s="6" t="s">
        <v>106</v>
      </c>
      <c r="H38" s="70">
        <f t="shared" si="0"/>
        <v>224.56554011084475</v>
      </c>
      <c r="I38" s="72">
        <f t="shared" si="5"/>
        <v>248.56067840675698</v>
      </c>
      <c r="J38" s="37">
        <f t="shared" si="1"/>
        <v>179.19347501472316</v>
      </c>
      <c r="K38" s="27">
        <v>0</v>
      </c>
      <c r="L38" s="27">
        <v>0</v>
      </c>
      <c r="M38" s="37">
        <v>0</v>
      </c>
      <c r="N38" s="27">
        <v>6</v>
      </c>
      <c r="O38" s="27">
        <v>3</v>
      </c>
      <c r="P38" s="27">
        <f t="shared" si="7"/>
        <v>18</v>
      </c>
      <c r="Q38" s="53">
        <v>0</v>
      </c>
      <c r="R38" s="27">
        <v>35.83</v>
      </c>
      <c r="S38" s="27">
        <v>0</v>
      </c>
      <c r="T38" s="27">
        <v>42</v>
      </c>
      <c r="U38" s="27">
        <v>0</v>
      </c>
      <c r="V38" s="27">
        <v>42</v>
      </c>
      <c r="W38" s="27">
        <v>6</v>
      </c>
      <c r="X38" s="27">
        <v>42</v>
      </c>
      <c r="Y38" s="27">
        <f t="shared" si="8"/>
        <v>252</v>
      </c>
      <c r="Z38" s="28">
        <f>((P38*$AF$7)+(Y38*$AF$8/100)*$AG$7)+Events!$H38+Events!$I38+Events!$J38+Events!$R38+Events!$Q38+Tabla1[[#This Row],[COMPLEMENT
RESPONSABLE EVENT]]</f>
        <v>1078.8288935323249</v>
      </c>
      <c r="AA38" s="43">
        <v>18412</v>
      </c>
      <c r="AB38" s="29">
        <f t="shared" si="4"/>
        <v>4.1624984033432018E-2</v>
      </c>
      <c r="AC38" s="7"/>
      <c r="AD38" s="5"/>
    </row>
    <row r="39" spans="1:30" x14ac:dyDescent="0.3">
      <c r="A39" s="35">
        <v>45322</v>
      </c>
      <c r="B39" s="30">
        <v>45292</v>
      </c>
      <c r="C39" s="31" t="s">
        <v>108</v>
      </c>
      <c r="D39" s="31"/>
      <c r="E39" s="31"/>
      <c r="F39" s="31" t="s">
        <v>108</v>
      </c>
      <c r="G39" s="31"/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f t="shared" ref="P39" si="9">(L39*M39)+(N39*O39)</f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f t="shared" ref="Y39" si="10">(S39*T39)+(W39*X39)+(U39*V39)</f>
        <v>0</v>
      </c>
      <c r="Z39" s="49">
        <f>((P39*$AF$7)+(Y39*$AF$8/100)*$AG$7)+Events!$H39+Events!$I39+Events!$J39+Events!$R39+Events!$Q39</f>
        <v>0</v>
      </c>
      <c r="AA39" s="50"/>
      <c r="AB39" s="51" t="str">
        <f t="shared" ref="AB39:AB70" si="11">IF(ISERROR(Z39/AA39),"",(Z39/AA39))</f>
        <v/>
      </c>
      <c r="AC39" s="7"/>
      <c r="AD39" s="5"/>
    </row>
    <row r="40" spans="1:30" x14ac:dyDescent="0.3">
      <c r="A40" s="38">
        <v>45293</v>
      </c>
      <c r="B40" s="23">
        <v>45292</v>
      </c>
      <c r="C40" s="27" t="s">
        <v>109</v>
      </c>
      <c r="D40" s="27"/>
      <c r="E40" s="27"/>
      <c r="F40" s="27" t="s">
        <v>109</v>
      </c>
      <c r="G40" s="27"/>
      <c r="H40" s="27">
        <v>0</v>
      </c>
      <c r="I40" s="27">
        <v>0</v>
      </c>
      <c r="J40" s="27">
        <v>0</v>
      </c>
      <c r="K40" s="27">
        <v>0</v>
      </c>
      <c r="L40" s="27">
        <v>2</v>
      </c>
      <c r="M40" s="27">
        <v>4</v>
      </c>
      <c r="N40" s="27">
        <v>0</v>
      </c>
      <c r="O40" s="27">
        <v>0</v>
      </c>
      <c r="P40" s="27">
        <f t="shared" si="2"/>
        <v>8</v>
      </c>
      <c r="Q40" s="27">
        <v>0</v>
      </c>
      <c r="R40" s="33">
        <v>9.2200000000000006</v>
      </c>
      <c r="S40" s="27">
        <v>0</v>
      </c>
      <c r="T40" s="27">
        <v>0</v>
      </c>
      <c r="U40" s="27">
        <v>0</v>
      </c>
      <c r="V40" s="27">
        <v>0</v>
      </c>
      <c r="W40" s="27">
        <v>2</v>
      </c>
      <c r="X40" s="27">
        <v>208</v>
      </c>
      <c r="Y40" s="27">
        <f>(S40*T40)+(W40*X40)+(U40*V40)</f>
        <v>416</v>
      </c>
      <c r="Z40" s="28">
        <f>((P40*$AF$7)+(Y40*$AF$8/100)*$AG$7)+Events!$H40+Events!$I40+Events!$J40+Events!$R40+Events!$Q40+Tabla1[[#This Row],[COMPLEMENT
RESPONSABLE EVENT]]</f>
        <v>263.29360000000003</v>
      </c>
      <c r="AA40" s="44"/>
      <c r="AB40" s="29" t="str">
        <f t="shared" si="11"/>
        <v/>
      </c>
    </row>
    <row r="41" spans="1:30" x14ac:dyDescent="0.3">
      <c r="A41" s="69">
        <v>45294</v>
      </c>
      <c r="B41" s="30">
        <v>45292</v>
      </c>
      <c r="C41" s="33" t="s">
        <v>109</v>
      </c>
      <c r="D41" s="33"/>
      <c r="E41" s="33"/>
      <c r="F41" s="33" t="s">
        <v>109</v>
      </c>
      <c r="G41" s="33"/>
      <c r="H41" s="33">
        <v>0</v>
      </c>
      <c r="I41" s="33">
        <v>0</v>
      </c>
      <c r="J41" s="33">
        <v>0</v>
      </c>
      <c r="K41" s="33">
        <v>0</v>
      </c>
      <c r="L41" s="33">
        <v>1</v>
      </c>
      <c r="M41" s="33">
        <v>4</v>
      </c>
      <c r="N41" s="33">
        <v>0</v>
      </c>
      <c r="O41" s="33">
        <v>0</v>
      </c>
      <c r="P41" s="33">
        <f t="shared" si="2"/>
        <v>4</v>
      </c>
      <c r="Q41" s="33">
        <v>0</v>
      </c>
      <c r="R41" s="33">
        <v>9.2200000000000006</v>
      </c>
      <c r="S41" s="33">
        <v>0</v>
      </c>
      <c r="T41" s="33">
        <v>0</v>
      </c>
      <c r="U41" s="33">
        <v>0</v>
      </c>
      <c r="V41" s="33">
        <v>0</v>
      </c>
      <c r="W41" s="33">
        <v>1</v>
      </c>
      <c r="X41" s="33">
        <v>104</v>
      </c>
      <c r="Y41" s="33">
        <f t="shared" si="6"/>
        <v>104</v>
      </c>
      <c r="Z41" s="49">
        <f>((P41*$AF$7)+(Y41*$AF$8/100)*$AG$7)+Events!$H41+Events!$I41+Events!$J41+Events!$R41+Events!$Q41+Tabla1[[#This Row],[COMPLEMENT
RESPONSABLE EVENT]]</f>
        <v>108.7384</v>
      </c>
      <c r="AA41" s="45"/>
      <c r="AB41" s="51" t="str">
        <f t="shared" si="11"/>
        <v/>
      </c>
    </row>
    <row r="42" spans="1:30" x14ac:dyDescent="0.3">
      <c r="A42" s="38">
        <v>45295</v>
      </c>
      <c r="B42" s="23">
        <v>45292</v>
      </c>
      <c r="C42" s="27" t="s">
        <v>109</v>
      </c>
      <c r="D42" s="27"/>
      <c r="E42" s="27"/>
      <c r="F42" s="27" t="s">
        <v>109</v>
      </c>
      <c r="G42" s="27"/>
      <c r="H42" s="27">
        <v>0</v>
      </c>
      <c r="I42" s="27">
        <v>0</v>
      </c>
      <c r="J42" s="27">
        <v>0</v>
      </c>
      <c r="K42" s="27">
        <v>0</v>
      </c>
      <c r="L42" s="27">
        <v>1</v>
      </c>
      <c r="M42" s="27">
        <v>4</v>
      </c>
      <c r="N42" s="27">
        <v>0</v>
      </c>
      <c r="O42" s="27">
        <v>0</v>
      </c>
      <c r="P42" s="27">
        <f t="shared" si="2"/>
        <v>4</v>
      </c>
      <c r="Q42" s="27">
        <v>0</v>
      </c>
      <c r="R42" s="33">
        <v>9.2200000000000006</v>
      </c>
      <c r="S42" s="27">
        <v>0</v>
      </c>
      <c r="T42" s="27">
        <v>0</v>
      </c>
      <c r="U42" s="27">
        <v>0</v>
      </c>
      <c r="V42" s="27">
        <v>0</v>
      </c>
      <c r="W42" s="27">
        <v>1</v>
      </c>
      <c r="X42" s="27">
        <v>104</v>
      </c>
      <c r="Y42" s="27">
        <f t="shared" si="6"/>
        <v>104</v>
      </c>
      <c r="Z42" s="28">
        <f>((P42*$AF$7)+(Y42*$AF$8/100)*$AG$7)+Events!$H42+Events!$I42+Events!$J42+Events!$R42+Events!$Q42+Tabla1[[#This Row],[COMPLEMENT
RESPONSABLE EVENT]]</f>
        <v>108.7384</v>
      </c>
      <c r="AA42" s="44"/>
      <c r="AB42" s="29" t="str">
        <f t="shared" si="11"/>
        <v/>
      </c>
    </row>
    <row r="43" spans="1:30" x14ac:dyDescent="0.3">
      <c r="A43" s="69">
        <v>45296</v>
      </c>
      <c r="B43" s="30">
        <v>45292</v>
      </c>
      <c r="C43" s="33" t="s">
        <v>109</v>
      </c>
      <c r="D43" s="33"/>
      <c r="E43" s="33"/>
      <c r="F43" s="33" t="s">
        <v>109</v>
      </c>
      <c r="G43" s="33"/>
      <c r="H43" s="33">
        <v>0</v>
      </c>
      <c r="I43" s="33">
        <v>0</v>
      </c>
      <c r="J43" s="33">
        <v>0</v>
      </c>
      <c r="K43" s="33">
        <v>0</v>
      </c>
      <c r="L43" s="33">
        <v>1</v>
      </c>
      <c r="M43" s="33">
        <v>4</v>
      </c>
      <c r="N43" s="33">
        <v>0</v>
      </c>
      <c r="O43" s="33">
        <v>0</v>
      </c>
      <c r="P43" s="33">
        <f t="shared" si="2"/>
        <v>4</v>
      </c>
      <c r="Q43" s="33">
        <v>0</v>
      </c>
      <c r="R43" s="33">
        <v>9.2200000000000006</v>
      </c>
      <c r="S43" s="33">
        <v>0</v>
      </c>
      <c r="T43" s="33">
        <v>0</v>
      </c>
      <c r="U43" s="33">
        <v>0</v>
      </c>
      <c r="V43" s="33">
        <v>0</v>
      </c>
      <c r="W43" s="33">
        <v>1</v>
      </c>
      <c r="X43" s="33">
        <v>104</v>
      </c>
      <c r="Y43" s="33">
        <f t="shared" si="6"/>
        <v>104</v>
      </c>
      <c r="Z43" s="49">
        <f>((P43*$AF$7)+(Y43*$AF$8/100)*$AG$7)+Events!$H43+Events!$I43+Events!$J43+Events!$R43+Events!$Q43+Tabla1[[#This Row],[COMPLEMENT
RESPONSABLE EVENT]]</f>
        <v>108.7384</v>
      </c>
      <c r="AA43" s="45"/>
      <c r="AB43" s="51" t="str">
        <f t="shared" si="11"/>
        <v/>
      </c>
    </row>
    <row r="44" spans="1:30" x14ac:dyDescent="0.3">
      <c r="A44" s="38">
        <v>45299</v>
      </c>
      <c r="B44" s="23">
        <v>45292</v>
      </c>
      <c r="C44" s="27" t="s">
        <v>109</v>
      </c>
      <c r="D44" s="27"/>
      <c r="E44" s="27"/>
      <c r="F44" s="27" t="s">
        <v>109</v>
      </c>
      <c r="G44" s="27"/>
      <c r="H44" s="27">
        <v>0</v>
      </c>
      <c r="I44" s="27">
        <v>0</v>
      </c>
      <c r="J44" s="27">
        <v>0</v>
      </c>
      <c r="K44" s="27">
        <v>0</v>
      </c>
      <c r="L44" s="27">
        <v>1</v>
      </c>
      <c r="M44" s="27">
        <v>4</v>
      </c>
      <c r="N44" s="27">
        <v>0</v>
      </c>
      <c r="O44" s="27">
        <v>0</v>
      </c>
      <c r="P44" s="27">
        <f t="shared" si="2"/>
        <v>4</v>
      </c>
      <c r="Q44" s="27">
        <v>0</v>
      </c>
      <c r="R44" s="33">
        <v>9.2200000000000006</v>
      </c>
      <c r="S44" s="27">
        <v>0</v>
      </c>
      <c r="T44" s="27">
        <v>0</v>
      </c>
      <c r="U44" s="27">
        <v>0</v>
      </c>
      <c r="V44" s="27">
        <v>0</v>
      </c>
      <c r="W44" s="27">
        <v>1</v>
      </c>
      <c r="X44" s="27">
        <v>104</v>
      </c>
      <c r="Y44" s="27">
        <f t="shared" si="6"/>
        <v>104</v>
      </c>
      <c r="Z44" s="28">
        <f>((P44*$AF$7)+(Y44*$AF$8/100)*$AG$7)+Events!$H44+Events!$I44+Events!$J44+Events!$R44+Events!$Q44+Tabla1[[#This Row],[COMPLEMENT
RESPONSABLE EVENT]]</f>
        <v>108.7384</v>
      </c>
      <c r="AA44" s="44"/>
      <c r="AB44" s="29" t="str">
        <f t="shared" si="11"/>
        <v/>
      </c>
    </row>
    <row r="45" spans="1:30" x14ac:dyDescent="0.3">
      <c r="A45" s="69">
        <v>45300</v>
      </c>
      <c r="B45" s="30">
        <v>45292</v>
      </c>
      <c r="C45" s="33" t="s">
        <v>109</v>
      </c>
      <c r="D45" s="33"/>
      <c r="E45" s="33"/>
      <c r="F45" s="33" t="s">
        <v>109</v>
      </c>
      <c r="G45" s="33"/>
      <c r="H45" s="33">
        <v>0</v>
      </c>
      <c r="I45" s="33">
        <v>0</v>
      </c>
      <c r="J45" s="33">
        <v>0</v>
      </c>
      <c r="K45" s="33">
        <v>0</v>
      </c>
      <c r="L45" s="33">
        <v>1</v>
      </c>
      <c r="M45" s="33">
        <v>4</v>
      </c>
      <c r="N45" s="33">
        <v>0</v>
      </c>
      <c r="O45" s="33">
        <v>0</v>
      </c>
      <c r="P45" s="33">
        <f t="shared" si="2"/>
        <v>4</v>
      </c>
      <c r="Q45" s="33">
        <v>0</v>
      </c>
      <c r="R45" s="33">
        <v>9.2200000000000006</v>
      </c>
      <c r="S45" s="33">
        <v>0</v>
      </c>
      <c r="T45" s="33">
        <v>0</v>
      </c>
      <c r="U45" s="33">
        <v>0</v>
      </c>
      <c r="V45" s="33">
        <v>0</v>
      </c>
      <c r="W45" s="33">
        <v>1</v>
      </c>
      <c r="X45" s="33">
        <v>104</v>
      </c>
      <c r="Y45" s="33">
        <f t="shared" si="6"/>
        <v>104</v>
      </c>
      <c r="Z45" s="49">
        <f>((P45*$AF$7)+(Y45*$AF$8/100)*$AG$7)+Events!$H45+Events!$I45+Events!$J45+Events!$R45+Events!$Q45+Tabla1[[#This Row],[COMPLEMENT
RESPONSABLE EVENT]]</f>
        <v>108.7384</v>
      </c>
      <c r="AA45" s="45"/>
      <c r="AB45" s="51" t="str">
        <f t="shared" si="11"/>
        <v/>
      </c>
    </row>
    <row r="46" spans="1:30" x14ac:dyDescent="0.3">
      <c r="A46" s="38">
        <v>45301</v>
      </c>
      <c r="B46" s="23">
        <v>45292</v>
      </c>
      <c r="C46" s="27" t="s">
        <v>109</v>
      </c>
      <c r="D46" s="27"/>
      <c r="E46" s="27"/>
      <c r="F46" s="27" t="s">
        <v>109</v>
      </c>
      <c r="G46" s="27"/>
      <c r="H46" s="27">
        <v>0</v>
      </c>
      <c r="I46" s="27">
        <v>0</v>
      </c>
      <c r="J46" s="27">
        <v>0</v>
      </c>
      <c r="K46" s="27">
        <v>0</v>
      </c>
      <c r="L46" s="27">
        <v>1</v>
      </c>
      <c r="M46" s="27">
        <v>4</v>
      </c>
      <c r="N46" s="27">
        <v>0</v>
      </c>
      <c r="O46" s="27">
        <v>0</v>
      </c>
      <c r="P46" s="27">
        <f t="shared" si="2"/>
        <v>4</v>
      </c>
      <c r="Q46" s="27">
        <v>0</v>
      </c>
      <c r="R46" s="33">
        <v>9.2200000000000006</v>
      </c>
      <c r="S46" s="27">
        <v>0</v>
      </c>
      <c r="T46" s="27">
        <v>0</v>
      </c>
      <c r="U46" s="27">
        <v>0</v>
      </c>
      <c r="V46" s="27">
        <v>0</v>
      </c>
      <c r="W46" s="27">
        <v>1</v>
      </c>
      <c r="X46" s="27">
        <v>104</v>
      </c>
      <c r="Y46" s="27">
        <f t="shared" si="6"/>
        <v>104</v>
      </c>
      <c r="Z46" s="28">
        <f>((P46*$AF$7)+(Y46*$AF$8/100)*$AG$7)+Events!$H46+Events!$I46+Events!$J46+Events!$R46+Events!$Q46+Tabla1[[#This Row],[COMPLEMENT
RESPONSABLE EVENT]]</f>
        <v>108.7384</v>
      </c>
      <c r="AA46" s="44"/>
      <c r="AB46" s="29" t="str">
        <f t="shared" si="11"/>
        <v/>
      </c>
    </row>
    <row r="47" spans="1:30" x14ac:dyDescent="0.3">
      <c r="A47" s="69">
        <v>45302</v>
      </c>
      <c r="B47" s="30">
        <v>45292</v>
      </c>
      <c r="C47" s="33" t="s">
        <v>109</v>
      </c>
      <c r="D47" s="33"/>
      <c r="E47" s="33"/>
      <c r="F47" s="33" t="s">
        <v>109</v>
      </c>
      <c r="G47" s="33"/>
      <c r="H47" s="33">
        <v>0</v>
      </c>
      <c r="I47" s="33">
        <v>0</v>
      </c>
      <c r="J47" s="33">
        <v>0</v>
      </c>
      <c r="K47" s="33">
        <v>0</v>
      </c>
      <c r="L47" s="33">
        <v>1</v>
      </c>
      <c r="M47" s="33">
        <v>4</v>
      </c>
      <c r="N47" s="33">
        <v>0</v>
      </c>
      <c r="O47" s="33">
        <v>0</v>
      </c>
      <c r="P47" s="33">
        <f t="shared" si="2"/>
        <v>4</v>
      </c>
      <c r="Q47" s="33">
        <v>0</v>
      </c>
      <c r="R47" s="33">
        <v>9.2200000000000006</v>
      </c>
      <c r="S47" s="33">
        <v>0</v>
      </c>
      <c r="T47" s="33">
        <v>0</v>
      </c>
      <c r="U47" s="33">
        <v>0</v>
      </c>
      <c r="V47" s="33">
        <v>0</v>
      </c>
      <c r="W47" s="33">
        <v>1</v>
      </c>
      <c r="X47" s="33">
        <v>104</v>
      </c>
      <c r="Y47" s="33">
        <f t="shared" si="6"/>
        <v>104</v>
      </c>
      <c r="Z47" s="49">
        <f>((P47*$AF$7)+(Y47*$AF$8/100)*$AG$7)+Events!$H47+Events!$I47+Events!$J47+Events!$R47+Events!$Q47+Tabla1[[#This Row],[COMPLEMENT
RESPONSABLE EVENT]]</f>
        <v>108.7384</v>
      </c>
      <c r="AA47" s="45"/>
      <c r="AB47" s="51" t="str">
        <f t="shared" si="11"/>
        <v/>
      </c>
    </row>
    <row r="48" spans="1:30" x14ac:dyDescent="0.3">
      <c r="A48" s="38">
        <v>45303</v>
      </c>
      <c r="B48" s="23">
        <v>45292</v>
      </c>
      <c r="C48" s="27" t="s">
        <v>109</v>
      </c>
      <c r="D48" s="27"/>
      <c r="E48" s="27"/>
      <c r="F48" s="27" t="s">
        <v>109</v>
      </c>
      <c r="G48" s="27"/>
      <c r="H48" s="27">
        <v>0</v>
      </c>
      <c r="I48" s="27">
        <v>0</v>
      </c>
      <c r="J48" s="27">
        <v>0</v>
      </c>
      <c r="K48" s="27">
        <v>0</v>
      </c>
      <c r="L48" s="27">
        <v>1</v>
      </c>
      <c r="M48" s="27">
        <v>4</v>
      </c>
      <c r="N48" s="27">
        <v>0</v>
      </c>
      <c r="O48" s="27">
        <v>0</v>
      </c>
      <c r="P48" s="27">
        <f t="shared" si="2"/>
        <v>4</v>
      </c>
      <c r="Q48" s="27">
        <v>0</v>
      </c>
      <c r="R48" s="33">
        <v>9.2200000000000006</v>
      </c>
      <c r="S48" s="27">
        <v>0</v>
      </c>
      <c r="T48" s="27">
        <v>0</v>
      </c>
      <c r="U48" s="27">
        <v>0</v>
      </c>
      <c r="V48" s="27">
        <v>0</v>
      </c>
      <c r="W48" s="27">
        <v>1</v>
      </c>
      <c r="X48" s="27">
        <v>104</v>
      </c>
      <c r="Y48" s="27">
        <f t="shared" si="6"/>
        <v>104</v>
      </c>
      <c r="Z48" s="28">
        <f>((P48*$AF$7)+(Y48*$AF$8/100)*$AG$7)+Events!$H48+Events!$I48+Events!$J48+Events!$R48+Events!$Q48+Tabla1[[#This Row],[COMPLEMENT
RESPONSABLE EVENT]]</f>
        <v>108.7384</v>
      </c>
      <c r="AA48" s="44"/>
      <c r="AB48" s="29" t="str">
        <f t="shared" si="11"/>
        <v/>
      </c>
    </row>
    <row r="49" spans="1:28" x14ac:dyDescent="0.3">
      <c r="A49" s="69">
        <v>45304</v>
      </c>
      <c r="B49" s="30">
        <v>45292</v>
      </c>
      <c r="C49" s="33" t="s">
        <v>109</v>
      </c>
      <c r="D49" s="33"/>
      <c r="E49" s="33"/>
      <c r="F49" s="33" t="s">
        <v>109</v>
      </c>
      <c r="G49" s="33"/>
      <c r="H49" s="33">
        <v>0</v>
      </c>
      <c r="I49" s="33">
        <v>0</v>
      </c>
      <c r="J49" s="33">
        <v>0</v>
      </c>
      <c r="K49" s="33">
        <v>0</v>
      </c>
      <c r="L49" s="33">
        <v>1</v>
      </c>
      <c r="M49" s="33">
        <v>4</v>
      </c>
      <c r="N49" s="33">
        <v>0</v>
      </c>
      <c r="O49" s="33">
        <v>0</v>
      </c>
      <c r="P49" s="33">
        <f t="shared" si="2"/>
        <v>4</v>
      </c>
      <c r="Q49" s="33">
        <v>0</v>
      </c>
      <c r="R49" s="33">
        <v>9.2200000000000006</v>
      </c>
      <c r="S49" s="33">
        <v>0</v>
      </c>
      <c r="T49" s="33">
        <v>0</v>
      </c>
      <c r="U49" s="33">
        <v>0</v>
      </c>
      <c r="V49" s="33">
        <v>0</v>
      </c>
      <c r="W49" s="33">
        <v>1</v>
      </c>
      <c r="X49" s="33">
        <v>104</v>
      </c>
      <c r="Y49" s="33">
        <f t="shared" si="6"/>
        <v>104</v>
      </c>
      <c r="Z49" s="49">
        <f>((P49*$AF$7)+(Y49*$AF$8/100)*$AG$7)+Events!$H49+Events!$I49+Events!$J49+Events!$R49+Events!$Q49+Tabla1[[#This Row],[COMPLEMENT
RESPONSABLE EVENT]]</f>
        <v>108.7384</v>
      </c>
      <c r="AA49" s="45"/>
      <c r="AB49" s="51" t="str">
        <f t="shared" si="11"/>
        <v/>
      </c>
    </row>
    <row r="50" spans="1:28" x14ac:dyDescent="0.3">
      <c r="A50" s="38">
        <v>45306</v>
      </c>
      <c r="B50" s="23">
        <v>45292</v>
      </c>
      <c r="C50" s="27" t="s">
        <v>109</v>
      </c>
      <c r="D50" s="27"/>
      <c r="E50" s="27"/>
      <c r="F50" s="27" t="s">
        <v>109</v>
      </c>
      <c r="G50" s="27"/>
      <c r="H50" s="27">
        <v>0</v>
      </c>
      <c r="I50" s="27">
        <v>0</v>
      </c>
      <c r="J50" s="27">
        <v>0</v>
      </c>
      <c r="K50" s="27">
        <v>0</v>
      </c>
      <c r="L50" s="27">
        <v>1</v>
      </c>
      <c r="M50" s="27">
        <v>4</v>
      </c>
      <c r="N50" s="27">
        <v>0</v>
      </c>
      <c r="O50" s="27">
        <v>0</v>
      </c>
      <c r="P50" s="27">
        <f t="shared" si="2"/>
        <v>4</v>
      </c>
      <c r="Q50" s="27">
        <v>0</v>
      </c>
      <c r="R50" s="33">
        <v>9.2200000000000006</v>
      </c>
      <c r="S50" s="27">
        <v>0</v>
      </c>
      <c r="T50" s="27">
        <v>0</v>
      </c>
      <c r="U50" s="27">
        <v>0</v>
      </c>
      <c r="V50" s="27">
        <v>0</v>
      </c>
      <c r="W50" s="27">
        <v>1</v>
      </c>
      <c r="X50" s="27">
        <v>104</v>
      </c>
      <c r="Y50" s="27">
        <f t="shared" si="6"/>
        <v>104</v>
      </c>
      <c r="Z50" s="28">
        <f>((P50*$AF$7)+(Y50*$AF$8/100)*$AG$7)+Events!$H50+Events!$I50+Events!$J50+Events!$R50+Events!$Q50+Tabla1[[#This Row],[COMPLEMENT
RESPONSABLE EVENT]]</f>
        <v>108.7384</v>
      </c>
      <c r="AA50" s="44"/>
      <c r="AB50" s="29" t="str">
        <f t="shared" si="11"/>
        <v/>
      </c>
    </row>
    <row r="51" spans="1:28" x14ac:dyDescent="0.3">
      <c r="A51" s="69">
        <v>45308</v>
      </c>
      <c r="B51" s="30">
        <v>45292</v>
      </c>
      <c r="C51" s="33" t="s">
        <v>109</v>
      </c>
      <c r="D51" s="33"/>
      <c r="E51" s="33"/>
      <c r="F51" s="33" t="s">
        <v>109</v>
      </c>
      <c r="G51" s="33"/>
      <c r="H51" s="33">
        <v>0</v>
      </c>
      <c r="I51" s="33">
        <v>0</v>
      </c>
      <c r="J51" s="33">
        <v>0</v>
      </c>
      <c r="K51" s="33">
        <v>0</v>
      </c>
      <c r="L51" s="33">
        <v>2</v>
      </c>
      <c r="M51" s="33">
        <v>4</v>
      </c>
      <c r="N51" s="33">
        <v>0</v>
      </c>
      <c r="O51" s="33">
        <v>0</v>
      </c>
      <c r="P51" s="33">
        <f t="shared" si="2"/>
        <v>8</v>
      </c>
      <c r="Q51" s="33">
        <v>0</v>
      </c>
      <c r="R51" s="33">
        <v>9.2200000000000006</v>
      </c>
      <c r="S51" s="33">
        <v>0</v>
      </c>
      <c r="T51" s="33">
        <v>0</v>
      </c>
      <c r="U51" s="33">
        <v>0</v>
      </c>
      <c r="V51" s="33">
        <v>0</v>
      </c>
      <c r="W51" s="33">
        <v>2</v>
      </c>
      <c r="X51" s="33">
        <v>104</v>
      </c>
      <c r="Y51" s="33">
        <f t="shared" si="6"/>
        <v>208</v>
      </c>
      <c r="Z51" s="49">
        <f>((P51*$AF$7)+(Y51*$AF$8/100)*$AG$7)+Events!$H51+Events!$I51+Events!$J51+Events!$R51+Events!$Q51+Tabla1[[#This Row],[COMPLEMENT
RESPONSABLE EVENT]]</f>
        <v>208.2568</v>
      </c>
      <c r="AA51" s="45"/>
      <c r="AB51" s="51" t="str">
        <f t="shared" si="11"/>
        <v/>
      </c>
    </row>
    <row r="52" spans="1:28" x14ac:dyDescent="0.3">
      <c r="A52" s="38">
        <v>45309</v>
      </c>
      <c r="B52" s="23">
        <v>45292</v>
      </c>
      <c r="C52" s="27" t="s">
        <v>109</v>
      </c>
      <c r="D52" s="27"/>
      <c r="E52" s="27"/>
      <c r="F52" s="27" t="s">
        <v>109</v>
      </c>
      <c r="G52" s="27"/>
      <c r="H52" s="27">
        <v>0</v>
      </c>
      <c r="I52" s="27">
        <v>0</v>
      </c>
      <c r="J52" s="27">
        <v>0</v>
      </c>
      <c r="K52" s="27">
        <v>0</v>
      </c>
      <c r="L52" s="27">
        <v>2</v>
      </c>
      <c r="M52" s="27">
        <v>4</v>
      </c>
      <c r="N52" s="27">
        <v>0</v>
      </c>
      <c r="O52" s="27">
        <v>0</v>
      </c>
      <c r="P52" s="27">
        <f t="shared" si="2"/>
        <v>8</v>
      </c>
      <c r="Q52" s="27">
        <v>0</v>
      </c>
      <c r="R52" s="33">
        <v>9.2200000000000006</v>
      </c>
      <c r="S52" s="27">
        <v>0</v>
      </c>
      <c r="T52" s="27">
        <v>0</v>
      </c>
      <c r="U52" s="27">
        <v>0</v>
      </c>
      <c r="V52" s="27">
        <v>0</v>
      </c>
      <c r="W52" s="27">
        <v>2</v>
      </c>
      <c r="X52" s="27">
        <v>104</v>
      </c>
      <c r="Y52" s="27">
        <f t="shared" si="6"/>
        <v>208</v>
      </c>
      <c r="Z52" s="28">
        <f>((P52*$AF$7)+(Y52*$AF$8/100)*$AG$7)+Events!$H52+Events!$I52+Events!$J52+Events!$R52+Events!$Q52+Tabla1[[#This Row],[COMPLEMENT
RESPONSABLE EVENT]]</f>
        <v>208.2568</v>
      </c>
      <c r="AA52" s="44"/>
      <c r="AB52" s="29" t="str">
        <f t="shared" si="11"/>
        <v/>
      </c>
    </row>
    <row r="53" spans="1:28" x14ac:dyDescent="0.3">
      <c r="A53" s="69">
        <v>45310</v>
      </c>
      <c r="B53" s="30">
        <v>45292</v>
      </c>
      <c r="C53" s="33" t="s">
        <v>109</v>
      </c>
      <c r="D53" s="33"/>
      <c r="E53" s="33"/>
      <c r="F53" s="33" t="s">
        <v>109</v>
      </c>
      <c r="G53" s="33"/>
      <c r="H53" s="33">
        <v>0</v>
      </c>
      <c r="I53" s="33">
        <v>0</v>
      </c>
      <c r="J53" s="33">
        <v>0</v>
      </c>
      <c r="K53" s="33">
        <v>0</v>
      </c>
      <c r="L53" s="33">
        <v>1</v>
      </c>
      <c r="M53" s="33">
        <v>4</v>
      </c>
      <c r="N53" s="33">
        <v>0</v>
      </c>
      <c r="O53" s="33">
        <v>0</v>
      </c>
      <c r="P53" s="33">
        <f t="shared" si="2"/>
        <v>4</v>
      </c>
      <c r="Q53" s="33">
        <v>0</v>
      </c>
      <c r="R53" s="33">
        <v>9.2200000000000006</v>
      </c>
      <c r="S53" s="33">
        <v>0</v>
      </c>
      <c r="T53" s="33">
        <v>0</v>
      </c>
      <c r="U53" s="33">
        <v>0</v>
      </c>
      <c r="V53" s="33">
        <v>0</v>
      </c>
      <c r="W53" s="33">
        <v>1</v>
      </c>
      <c r="X53" s="33">
        <v>104</v>
      </c>
      <c r="Y53" s="33">
        <f t="shared" si="6"/>
        <v>104</v>
      </c>
      <c r="Z53" s="49">
        <f>((P53*$AF$7)+(Y53*$AF$8/100)*$AG$7)+Events!$H53+Events!$I53+Events!$J53+Events!$R53+Events!$Q53+Tabla1[[#This Row],[COMPLEMENT
RESPONSABLE EVENT]]</f>
        <v>108.7384</v>
      </c>
      <c r="AA53" s="45"/>
      <c r="AB53" s="51" t="str">
        <f t="shared" si="11"/>
        <v/>
      </c>
    </row>
    <row r="54" spans="1:28" x14ac:dyDescent="0.3">
      <c r="A54" s="38">
        <v>45311</v>
      </c>
      <c r="B54" s="23">
        <v>45292</v>
      </c>
      <c r="C54" s="27" t="s">
        <v>109</v>
      </c>
      <c r="D54" s="27"/>
      <c r="E54" s="27"/>
      <c r="F54" s="27" t="s">
        <v>109</v>
      </c>
      <c r="G54" s="27"/>
      <c r="H54" s="27">
        <v>0</v>
      </c>
      <c r="I54" s="27">
        <v>0</v>
      </c>
      <c r="J54" s="27">
        <v>0</v>
      </c>
      <c r="K54" s="27">
        <v>0</v>
      </c>
      <c r="L54" s="27">
        <v>1</v>
      </c>
      <c r="M54" s="27">
        <v>4</v>
      </c>
      <c r="N54" s="27">
        <v>0</v>
      </c>
      <c r="O54" s="27">
        <v>0</v>
      </c>
      <c r="P54" s="27">
        <f t="shared" si="2"/>
        <v>4</v>
      </c>
      <c r="Q54" s="27">
        <v>0</v>
      </c>
      <c r="R54" s="33">
        <v>9.2200000000000006</v>
      </c>
      <c r="S54" s="27">
        <v>0</v>
      </c>
      <c r="T54" s="27">
        <v>0</v>
      </c>
      <c r="U54" s="27">
        <v>0</v>
      </c>
      <c r="V54" s="27">
        <v>0</v>
      </c>
      <c r="W54" s="27">
        <v>1</v>
      </c>
      <c r="X54" s="27">
        <v>104</v>
      </c>
      <c r="Y54" s="27">
        <f t="shared" si="6"/>
        <v>104</v>
      </c>
      <c r="Z54" s="28">
        <f>((P54*$AF$7)+(Y54*$AF$8/100)*$AG$7)+Events!$H54+Events!$I54+Events!$J54+Events!$R54+Events!$Q54+Tabla1[[#This Row],[COMPLEMENT
RESPONSABLE EVENT]]</f>
        <v>108.7384</v>
      </c>
      <c r="AA54" s="44"/>
      <c r="AB54" s="29" t="str">
        <f t="shared" si="11"/>
        <v/>
      </c>
    </row>
    <row r="55" spans="1:28" x14ac:dyDescent="0.3">
      <c r="A55" s="69">
        <v>45313</v>
      </c>
      <c r="B55" s="30">
        <v>45292</v>
      </c>
      <c r="C55" s="33" t="s">
        <v>109</v>
      </c>
      <c r="D55" s="33"/>
      <c r="E55" s="33"/>
      <c r="F55" s="33" t="s">
        <v>109</v>
      </c>
      <c r="G55" s="33"/>
      <c r="H55" s="33">
        <v>0</v>
      </c>
      <c r="I55" s="33">
        <v>0</v>
      </c>
      <c r="J55" s="33">
        <v>0</v>
      </c>
      <c r="K55" s="33">
        <v>0</v>
      </c>
      <c r="L55" s="33">
        <v>2</v>
      </c>
      <c r="M55" s="33">
        <v>4</v>
      </c>
      <c r="N55" s="33">
        <v>0</v>
      </c>
      <c r="O55" s="33">
        <v>0</v>
      </c>
      <c r="P55" s="33">
        <f t="shared" si="2"/>
        <v>8</v>
      </c>
      <c r="Q55" s="33">
        <v>0</v>
      </c>
      <c r="R55" s="33">
        <v>9.2200000000000006</v>
      </c>
      <c r="S55" s="33">
        <v>0</v>
      </c>
      <c r="T55" s="33">
        <v>0</v>
      </c>
      <c r="U55" s="33">
        <v>0</v>
      </c>
      <c r="V55" s="33">
        <v>0</v>
      </c>
      <c r="W55" s="33">
        <v>2</v>
      </c>
      <c r="X55" s="33">
        <v>104</v>
      </c>
      <c r="Y55" s="33">
        <f t="shared" si="6"/>
        <v>208</v>
      </c>
      <c r="Z55" s="49">
        <f>((P55*$AF$7)+(Y55*$AF$8/100)*$AG$7)+Events!$H55+Events!$I55+Events!$J55+Events!$R55+Events!$Q55+Tabla1[[#This Row],[COMPLEMENT
RESPONSABLE EVENT]]</f>
        <v>208.2568</v>
      </c>
      <c r="AA55" s="45"/>
      <c r="AB55" s="51" t="str">
        <f t="shared" si="11"/>
        <v/>
      </c>
    </row>
    <row r="56" spans="1:28" x14ac:dyDescent="0.3">
      <c r="A56" s="38">
        <v>45315</v>
      </c>
      <c r="B56" s="23">
        <v>45292</v>
      </c>
      <c r="C56" s="27" t="s">
        <v>109</v>
      </c>
      <c r="D56" s="27"/>
      <c r="E56" s="27"/>
      <c r="F56" s="27" t="s">
        <v>109</v>
      </c>
      <c r="G56" s="27"/>
      <c r="H56" s="27">
        <v>0</v>
      </c>
      <c r="I56" s="27">
        <v>0</v>
      </c>
      <c r="J56" s="27">
        <v>0</v>
      </c>
      <c r="K56" s="27">
        <v>0</v>
      </c>
      <c r="L56" s="27">
        <v>2</v>
      </c>
      <c r="M56" s="27">
        <v>4</v>
      </c>
      <c r="N56" s="27">
        <v>0</v>
      </c>
      <c r="O56" s="27">
        <v>0</v>
      </c>
      <c r="P56" s="27">
        <f t="shared" si="2"/>
        <v>8</v>
      </c>
      <c r="Q56" s="27">
        <v>0</v>
      </c>
      <c r="R56" s="33">
        <v>9.2200000000000006</v>
      </c>
      <c r="S56" s="27">
        <v>0</v>
      </c>
      <c r="T56" s="27">
        <v>0</v>
      </c>
      <c r="U56" s="27">
        <v>0</v>
      </c>
      <c r="V56" s="27">
        <v>0</v>
      </c>
      <c r="W56" s="27">
        <v>2</v>
      </c>
      <c r="X56" s="27">
        <v>104</v>
      </c>
      <c r="Y56" s="27">
        <f t="shared" si="6"/>
        <v>208</v>
      </c>
      <c r="Z56" s="28">
        <f>((P56*$AF$7)+(Y56*$AF$8/100)*$AG$7)+Events!$H56+Events!$I56+Events!$J56+Events!$R56+Events!$Q56+Tabla1[[#This Row],[COMPLEMENT
RESPONSABLE EVENT]]</f>
        <v>208.2568</v>
      </c>
      <c r="AA56" s="44"/>
      <c r="AB56" s="29" t="str">
        <f t="shared" si="11"/>
        <v/>
      </c>
    </row>
    <row r="57" spans="1:28" x14ac:dyDescent="0.3">
      <c r="A57" s="69">
        <v>45316</v>
      </c>
      <c r="B57" s="30">
        <v>45292</v>
      </c>
      <c r="C57" s="33" t="s">
        <v>109</v>
      </c>
      <c r="D57" s="33"/>
      <c r="E57" s="33"/>
      <c r="F57" s="33" t="s">
        <v>109</v>
      </c>
      <c r="G57" s="33"/>
      <c r="H57" s="33">
        <v>0</v>
      </c>
      <c r="I57" s="33">
        <v>0</v>
      </c>
      <c r="J57" s="33">
        <v>0</v>
      </c>
      <c r="K57" s="33">
        <v>0</v>
      </c>
      <c r="L57" s="33">
        <v>2</v>
      </c>
      <c r="M57" s="33">
        <v>4</v>
      </c>
      <c r="N57" s="33">
        <v>0</v>
      </c>
      <c r="O57" s="33">
        <v>0</v>
      </c>
      <c r="P57" s="33">
        <f t="shared" si="2"/>
        <v>8</v>
      </c>
      <c r="Q57" s="33">
        <v>0</v>
      </c>
      <c r="R57" s="33">
        <v>9.2200000000000006</v>
      </c>
      <c r="S57" s="33">
        <v>0</v>
      </c>
      <c r="T57" s="33">
        <v>0</v>
      </c>
      <c r="U57" s="33">
        <v>0</v>
      </c>
      <c r="V57" s="33">
        <v>0</v>
      </c>
      <c r="W57" s="33">
        <v>2</v>
      </c>
      <c r="X57" s="33">
        <v>104</v>
      </c>
      <c r="Y57" s="33">
        <f t="shared" si="6"/>
        <v>208</v>
      </c>
      <c r="Z57" s="49">
        <f>((P57*$AF$7)+(Y57*$AF$8/100)*$AG$7)+Events!$H57+Events!$I57+Events!$J57+Events!$R57+Events!$Q57+Tabla1[[#This Row],[COMPLEMENT
RESPONSABLE EVENT]]</f>
        <v>208.2568</v>
      </c>
      <c r="AA57" s="45"/>
      <c r="AB57" s="51" t="str">
        <f t="shared" si="11"/>
        <v/>
      </c>
    </row>
    <row r="58" spans="1:28" x14ac:dyDescent="0.3">
      <c r="A58" s="38">
        <v>45317</v>
      </c>
      <c r="B58" s="23">
        <v>45292</v>
      </c>
      <c r="C58" s="27" t="s">
        <v>109</v>
      </c>
      <c r="D58" s="27"/>
      <c r="E58" s="27"/>
      <c r="F58" s="27" t="s">
        <v>109</v>
      </c>
      <c r="G58" s="27"/>
      <c r="H58" s="27">
        <v>0</v>
      </c>
      <c r="I58" s="27">
        <v>0</v>
      </c>
      <c r="J58" s="27">
        <v>0</v>
      </c>
      <c r="K58" s="27">
        <v>0</v>
      </c>
      <c r="L58" s="27">
        <v>2</v>
      </c>
      <c r="M58" s="27">
        <v>4</v>
      </c>
      <c r="N58" s="27">
        <v>0</v>
      </c>
      <c r="O58" s="27">
        <v>0</v>
      </c>
      <c r="P58" s="27">
        <f t="shared" si="2"/>
        <v>8</v>
      </c>
      <c r="Q58" s="27">
        <v>0</v>
      </c>
      <c r="R58" s="33">
        <v>9.2200000000000006</v>
      </c>
      <c r="S58" s="27">
        <v>0</v>
      </c>
      <c r="T58" s="27">
        <v>0</v>
      </c>
      <c r="U58" s="27">
        <v>0</v>
      </c>
      <c r="V58" s="27">
        <v>0</v>
      </c>
      <c r="W58" s="27">
        <v>2</v>
      </c>
      <c r="X58" s="27">
        <v>104</v>
      </c>
      <c r="Y58" s="27">
        <f t="shared" si="6"/>
        <v>208</v>
      </c>
      <c r="Z58" s="28">
        <f>((P58*$AF$7)+(Y58*$AF$8/100)*$AG$7)+Events!$H58+Events!$I58+Events!$J58+Events!$R58+Events!$Q58+Tabla1[[#This Row],[COMPLEMENT
RESPONSABLE EVENT]]</f>
        <v>208.2568</v>
      </c>
      <c r="AA58" s="44"/>
      <c r="AB58" s="29" t="str">
        <f t="shared" si="11"/>
        <v/>
      </c>
    </row>
    <row r="59" spans="1:28" x14ac:dyDescent="0.3">
      <c r="A59" s="69">
        <v>45318</v>
      </c>
      <c r="B59" s="30">
        <v>45292</v>
      </c>
      <c r="C59" s="33" t="s">
        <v>109</v>
      </c>
      <c r="D59" s="33"/>
      <c r="E59" s="33"/>
      <c r="F59" s="33" t="s">
        <v>109</v>
      </c>
      <c r="G59" s="33"/>
      <c r="H59" s="33">
        <v>0</v>
      </c>
      <c r="I59" s="33">
        <v>0</v>
      </c>
      <c r="J59" s="33">
        <v>0</v>
      </c>
      <c r="K59" s="33">
        <v>0</v>
      </c>
      <c r="L59" s="33">
        <v>1</v>
      </c>
      <c r="M59" s="33">
        <v>4</v>
      </c>
      <c r="N59" s="33">
        <v>0</v>
      </c>
      <c r="O59" s="33">
        <v>0</v>
      </c>
      <c r="P59" s="33">
        <f t="shared" si="2"/>
        <v>4</v>
      </c>
      <c r="Q59" s="33">
        <v>0</v>
      </c>
      <c r="R59" s="33">
        <v>9.2200000000000006</v>
      </c>
      <c r="S59" s="33">
        <v>0</v>
      </c>
      <c r="T59" s="33">
        <v>0</v>
      </c>
      <c r="U59" s="33">
        <v>0</v>
      </c>
      <c r="V59" s="33">
        <v>0</v>
      </c>
      <c r="W59" s="33">
        <v>1</v>
      </c>
      <c r="X59" s="33">
        <v>104</v>
      </c>
      <c r="Y59" s="33">
        <f t="shared" si="6"/>
        <v>104</v>
      </c>
      <c r="Z59" s="49">
        <f>((P59*$AF$7)+(Y59*$AF$8/100)*$AG$7)+Events!$H59+Events!$I59+Events!$J59+Events!$R59+Events!$Q59+Tabla1[[#This Row],[COMPLEMENT
RESPONSABLE EVENT]]</f>
        <v>108.7384</v>
      </c>
      <c r="AA59" s="45"/>
      <c r="AB59" s="51" t="str">
        <f t="shared" si="11"/>
        <v/>
      </c>
    </row>
    <row r="60" spans="1:28" x14ac:dyDescent="0.3">
      <c r="A60" s="38">
        <v>45320</v>
      </c>
      <c r="B60" s="23">
        <v>45292</v>
      </c>
      <c r="C60" s="27" t="s">
        <v>109</v>
      </c>
      <c r="D60" s="27"/>
      <c r="E60" s="27"/>
      <c r="F60" s="27" t="s">
        <v>109</v>
      </c>
      <c r="G60" s="27"/>
      <c r="H60" s="27">
        <v>0</v>
      </c>
      <c r="I60" s="27">
        <v>0</v>
      </c>
      <c r="J60" s="27">
        <v>0</v>
      </c>
      <c r="K60" s="27">
        <v>0</v>
      </c>
      <c r="L60" s="27">
        <v>2</v>
      </c>
      <c r="M60" s="27">
        <v>4</v>
      </c>
      <c r="N60" s="27">
        <v>0</v>
      </c>
      <c r="O60" s="27">
        <v>0</v>
      </c>
      <c r="P60" s="27">
        <f t="shared" si="2"/>
        <v>8</v>
      </c>
      <c r="Q60" s="27">
        <v>0</v>
      </c>
      <c r="R60" s="33">
        <v>9.2200000000000006</v>
      </c>
      <c r="S60" s="27">
        <v>0</v>
      </c>
      <c r="T60" s="27">
        <v>0</v>
      </c>
      <c r="U60" s="27">
        <v>0</v>
      </c>
      <c r="V60" s="27">
        <v>0</v>
      </c>
      <c r="W60" s="27">
        <v>2</v>
      </c>
      <c r="X60" s="27">
        <v>104</v>
      </c>
      <c r="Y60" s="27">
        <f t="shared" si="6"/>
        <v>208</v>
      </c>
      <c r="Z60" s="28">
        <f>((P60*$AF$7)+(Y60*$AF$8/100)*$AG$7)+Events!$H60+Events!$I60+Events!$J60+Events!$R60+Events!$Q60+Tabla1[[#This Row],[COMPLEMENT
RESPONSABLE EVENT]]</f>
        <v>208.2568</v>
      </c>
      <c r="AA60" s="44"/>
      <c r="AB60" s="29" t="str">
        <f t="shared" si="11"/>
        <v/>
      </c>
    </row>
    <row r="61" spans="1:28" x14ac:dyDescent="0.3">
      <c r="A61" s="69">
        <v>45322</v>
      </c>
      <c r="B61" s="30">
        <v>45292</v>
      </c>
      <c r="C61" s="33" t="s">
        <v>109</v>
      </c>
      <c r="D61" s="33"/>
      <c r="E61" s="33"/>
      <c r="F61" s="33" t="s">
        <v>109</v>
      </c>
      <c r="G61" s="33"/>
      <c r="H61" s="33">
        <v>0</v>
      </c>
      <c r="I61" s="33">
        <v>0</v>
      </c>
      <c r="J61" s="33">
        <v>0</v>
      </c>
      <c r="K61" s="33">
        <v>0</v>
      </c>
      <c r="L61" s="33">
        <v>1</v>
      </c>
      <c r="M61" s="33">
        <v>4</v>
      </c>
      <c r="N61" s="33">
        <v>0</v>
      </c>
      <c r="O61" s="33">
        <v>0</v>
      </c>
      <c r="P61" s="33">
        <f t="shared" si="2"/>
        <v>4</v>
      </c>
      <c r="Q61" s="33">
        <v>0</v>
      </c>
      <c r="R61" s="33">
        <v>9.2200000000000006</v>
      </c>
      <c r="S61" s="33">
        <v>0</v>
      </c>
      <c r="T61" s="33">
        <v>0</v>
      </c>
      <c r="U61" s="33">
        <v>0</v>
      </c>
      <c r="V61" s="33">
        <v>0</v>
      </c>
      <c r="W61" s="33">
        <v>1</v>
      </c>
      <c r="X61" s="33">
        <v>104</v>
      </c>
      <c r="Y61" s="33">
        <f t="shared" si="6"/>
        <v>104</v>
      </c>
      <c r="Z61" s="49">
        <f>((P61*$AF$7)+(Y61*$AF$8/100)*$AG$7)+Events!$H61+Events!$I61+Events!$J61+Events!$R61+Events!$Q61+Tabla1[[#This Row],[COMPLEMENT
RESPONSABLE EVENT]]</f>
        <v>108.7384</v>
      </c>
      <c r="AA61" s="45"/>
      <c r="AB61" s="51" t="str">
        <f t="shared" si="11"/>
        <v/>
      </c>
    </row>
    <row r="62" spans="1:28" x14ac:dyDescent="0.3">
      <c r="A62" s="34">
        <v>45293</v>
      </c>
      <c r="B62" s="23">
        <v>45292</v>
      </c>
      <c r="C62" s="27" t="s">
        <v>110</v>
      </c>
      <c r="D62" s="27"/>
      <c r="E62" s="27"/>
      <c r="F62" s="27" t="s">
        <v>110</v>
      </c>
      <c r="G62" s="27"/>
      <c r="H62" s="27">
        <v>66.61</v>
      </c>
      <c r="I62" s="27">
        <v>73.72</v>
      </c>
      <c r="J62" s="27">
        <v>0</v>
      </c>
      <c r="K62" s="27">
        <v>0</v>
      </c>
      <c r="L62" s="27">
        <v>2</v>
      </c>
      <c r="M62" s="27">
        <v>5</v>
      </c>
      <c r="N62" s="27">
        <v>0</v>
      </c>
      <c r="O62" s="27">
        <v>0</v>
      </c>
      <c r="P62" s="27">
        <f t="shared" ref="P62:P70" si="12">(L62*M62)+(N62*O62)</f>
        <v>10</v>
      </c>
      <c r="Q62" s="27">
        <v>0</v>
      </c>
      <c r="R62" s="27">
        <v>45.71</v>
      </c>
      <c r="S62" s="27">
        <v>0</v>
      </c>
      <c r="T62" s="27">
        <v>0</v>
      </c>
      <c r="U62" s="27">
        <v>0</v>
      </c>
      <c r="V62" s="27">
        <v>0</v>
      </c>
      <c r="W62" s="27">
        <v>2</v>
      </c>
      <c r="X62" s="27">
        <v>150</v>
      </c>
      <c r="Y62" s="27">
        <f t="shared" ref="Y62:Y70" si="13">(S62*T62)+(W62*X62)+(U62*V62)</f>
        <v>300</v>
      </c>
      <c r="Z62" s="28">
        <f>((P62*$AF$7)+(Y62*$AF$8/100)*$AG$7)+Events!$H62+Events!$I62+Events!$J62+Events!$R62+Events!$Q62+Tabla1[[#This Row],[COMPLEMENT
RESPONSABLE EVENT]]</f>
        <v>445.42</v>
      </c>
      <c r="AA62" s="44"/>
      <c r="AB62" s="29" t="str">
        <f t="shared" si="11"/>
        <v/>
      </c>
    </row>
    <row r="63" spans="1:28" x14ac:dyDescent="0.3">
      <c r="A63" s="35">
        <v>45295</v>
      </c>
      <c r="B63" s="30">
        <v>45292</v>
      </c>
      <c r="C63" s="33" t="s">
        <v>110</v>
      </c>
      <c r="D63" s="33"/>
      <c r="E63" s="33"/>
      <c r="F63" s="33" t="s">
        <v>110</v>
      </c>
      <c r="G63" s="33"/>
      <c r="H63" s="33">
        <v>66.61</v>
      </c>
      <c r="I63" s="33">
        <v>73.72</v>
      </c>
      <c r="J63" s="33">
        <v>0</v>
      </c>
      <c r="K63" s="33">
        <v>0</v>
      </c>
      <c r="L63" s="33">
        <v>2</v>
      </c>
      <c r="M63" s="33">
        <v>5</v>
      </c>
      <c r="N63" s="33">
        <v>0</v>
      </c>
      <c r="O63" s="33">
        <v>0</v>
      </c>
      <c r="P63" s="33">
        <f t="shared" si="12"/>
        <v>10</v>
      </c>
      <c r="Q63" s="33">
        <v>0</v>
      </c>
      <c r="R63" s="33">
        <v>45.71</v>
      </c>
      <c r="S63" s="33">
        <v>0</v>
      </c>
      <c r="T63" s="33">
        <v>0</v>
      </c>
      <c r="U63" s="33">
        <v>0</v>
      </c>
      <c r="V63" s="33">
        <v>0</v>
      </c>
      <c r="W63" s="33">
        <v>2</v>
      </c>
      <c r="X63" s="33">
        <v>150</v>
      </c>
      <c r="Y63" s="33">
        <f t="shared" si="13"/>
        <v>300</v>
      </c>
      <c r="Z63" s="49">
        <f>((P63*$AF$7)+(Y63*$AF$8/100)*$AG$7)+Events!$H63+Events!$I63+Events!$J63+Events!$R63+Events!$Q63+Tabla1[[#This Row],[COMPLEMENT
RESPONSABLE EVENT]]</f>
        <v>445.42</v>
      </c>
      <c r="AA63" s="45"/>
      <c r="AB63" s="51" t="str">
        <f t="shared" si="11"/>
        <v/>
      </c>
    </row>
    <row r="64" spans="1:28" x14ac:dyDescent="0.3">
      <c r="A64" s="34">
        <v>45300</v>
      </c>
      <c r="B64" s="23">
        <v>45292</v>
      </c>
      <c r="C64" s="27" t="s">
        <v>110</v>
      </c>
      <c r="D64" s="27"/>
      <c r="E64" s="27"/>
      <c r="F64" s="27" t="s">
        <v>110</v>
      </c>
      <c r="G64" s="27"/>
      <c r="H64" s="27">
        <v>66.61</v>
      </c>
      <c r="I64" s="27">
        <v>73.72</v>
      </c>
      <c r="J64" s="27">
        <v>0</v>
      </c>
      <c r="K64" s="27">
        <v>0</v>
      </c>
      <c r="L64" s="27">
        <v>2</v>
      </c>
      <c r="M64" s="27">
        <v>5</v>
      </c>
      <c r="N64" s="27">
        <v>0</v>
      </c>
      <c r="O64" s="27">
        <v>0</v>
      </c>
      <c r="P64" s="27">
        <f t="shared" si="12"/>
        <v>10</v>
      </c>
      <c r="Q64" s="27">
        <v>0</v>
      </c>
      <c r="R64" s="27">
        <v>45.71</v>
      </c>
      <c r="S64" s="27">
        <v>0</v>
      </c>
      <c r="T64" s="27">
        <v>0</v>
      </c>
      <c r="U64" s="27">
        <v>0</v>
      </c>
      <c r="V64" s="27">
        <v>0</v>
      </c>
      <c r="W64" s="27">
        <v>2</v>
      </c>
      <c r="X64" s="27">
        <v>150</v>
      </c>
      <c r="Y64" s="27">
        <f t="shared" si="13"/>
        <v>300</v>
      </c>
      <c r="Z64" s="28">
        <f>((P64*$AF$7)+(Y64*$AF$8/100)*$AG$7)+Events!$H64+Events!$I64+Events!$J64+Events!$R64+Events!$Q64+Tabla1[[#This Row],[COMPLEMENT
RESPONSABLE EVENT]]</f>
        <v>445.42</v>
      </c>
      <c r="AA64" s="44"/>
      <c r="AB64" s="29" t="str">
        <f t="shared" si="11"/>
        <v/>
      </c>
    </row>
    <row r="65" spans="1:28" x14ac:dyDescent="0.3">
      <c r="A65" s="35">
        <v>45302</v>
      </c>
      <c r="B65" s="30">
        <v>45292</v>
      </c>
      <c r="C65" s="33" t="s">
        <v>110</v>
      </c>
      <c r="D65" s="33"/>
      <c r="E65" s="33"/>
      <c r="F65" s="33" t="s">
        <v>110</v>
      </c>
      <c r="G65" s="33"/>
      <c r="H65" s="33">
        <v>66.61</v>
      </c>
      <c r="I65" s="33">
        <v>73.72</v>
      </c>
      <c r="J65" s="33">
        <v>0</v>
      </c>
      <c r="K65" s="33">
        <v>0</v>
      </c>
      <c r="L65" s="33">
        <v>2</v>
      </c>
      <c r="M65" s="33">
        <v>5</v>
      </c>
      <c r="N65" s="33">
        <v>0</v>
      </c>
      <c r="O65" s="33">
        <v>0</v>
      </c>
      <c r="P65" s="33">
        <f t="shared" si="12"/>
        <v>10</v>
      </c>
      <c r="Q65" s="33">
        <v>0</v>
      </c>
      <c r="R65" s="33">
        <v>45.71</v>
      </c>
      <c r="S65" s="33">
        <v>0</v>
      </c>
      <c r="T65" s="33">
        <v>0</v>
      </c>
      <c r="U65" s="33">
        <v>0</v>
      </c>
      <c r="V65" s="33">
        <v>0</v>
      </c>
      <c r="W65" s="33">
        <v>2</v>
      </c>
      <c r="X65" s="33">
        <v>150</v>
      </c>
      <c r="Y65" s="33">
        <f t="shared" si="13"/>
        <v>300</v>
      </c>
      <c r="Z65" s="49">
        <f>((P65*$AF$7)+(Y65*$AF$8/100)*$AG$7)+Events!$H65+Events!$I65+Events!$J65+Events!$R65+Events!$Q65+Tabla1[[#This Row],[COMPLEMENT
RESPONSABLE EVENT]]</f>
        <v>445.42</v>
      </c>
      <c r="AA65" s="45"/>
      <c r="AB65" s="51" t="str">
        <f t="shared" si="11"/>
        <v/>
      </c>
    </row>
    <row r="66" spans="1:28" x14ac:dyDescent="0.3">
      <c r="A66" s="34">
        <v>45307</v>
      </c>
      <c r="B66" s="23">
        <v>45292</v>
      </c>
      <c r="C66" s="27" t="s">
        <v>110</v>
      </c>
      <c r="D66" s="27"/>
      <c r="E66" s="27"/>
      <c r="F66" s="27" t="s">
        <v>110</v>
      </c>
      <c r="G66" s="27"/>
      <c r="H66" s="27">
        <v>66.61</v>
      </c>
      <c r="I66" s="27">
        <v>73.72</v>
      </c>
      <c r="J66" s="27">
        <v>0</v>
      </c>
      <c r="K66" s="27">
        <v>0</v>
      </c>
      <c r="L66" s="27">
        <v>2</v>
      </c>
      <c r="M66" s="27">
        <v>5</v>
      </c>
      <c r="N66" s="27">
        <v>0</v>
      </c>
      <c r="O66" s="27">
        <v>0</v>
      </c>
      <c r="P66" s="27">
        <f t="shared" si="12"/>
        <v>10</v>
      </c>
      <c r="Q66" s="27">
        <v>0</v>
      </c>
      <c r="R66" s="27">
        <v>45.71</v>
      </c>
      <c r="S66" s="27">
        <v>0</v>
      </c>
      <c r="T66" s="27">
        <v>0</v>
      </c>
      <c r="U66" s="27">
        <v>0</v>
      </c>
      <c r="V66" s="27">
        <v>0</v>
      </c>
      <c r="W66" s="27">
        <v>2</v>
      </c>
      <c r="X66" s="27">
        <v>150</v>
      </c>
      <c r="Y66" s="27">
        <f t="shared" si="13"/>
        <v>300</v>
      </c>
      <c r="Z66" s="28">
        <f>((P66*$AF$7)+(Y66*$AF$8/100)*$AG$7)+Events!$H66+Events!$I66+Events!$J66+Events!$R66+Events!$Q66+Tabla1[[#This Row],[COMPLEMENT
RESPONSABLE EVENT]]</f>
        <v>445.42</v>
      </c>
      <c r="AA66" s="44"/>
      <c r="AB66" s="29" t="str">
        <f t="shared" si="11"/>
        <v/>
      </c>
    </row>
    <row r="67" spans="1:28" x14ac:dyDescent="0.3">
      <c r="A67" s="35">
        <v>45309</v>
      </c>
      <c r="B67" s="30">
        <v>45292</v>
      </c>
      <c r="C67" s="33" t="s">
        <v>110</v>
      </c>
      <c r="D67" s="33"/>
      <c r="E67" s="33"/>
      <c r="F67" s="33" t="s">
        <v>110</v>
      </c>
      <c r="G67" s="33"/>
      <c r="H67" s="33">
        <v>66.61</v>
      </c>
      <c r="I67" s="33">
        <v>73.72</v>
      </c>
      <c r="J67" s="33">
        <v>0</v>
      </c>
      <c r="K67" s="33">
        <v>0</v>
      </c>
      <c r="L67" s="33">
        <v>2</v>
      </c>
      <c r="M67" s="33">
        <v>5</v>
      </c>
      <c r="N67" s="33">
        <v>0</v>
      </c>
      <c r="O67" s="33">
        <v>0</v>
      </c>
      <c r="P67" s="33">
        <f t="shared" si="12"/>
        <v>10</v>
      </c>
      <c r="Q67" s="33">
        <v>0</v>
      </c>
      <c r="R67" s="33">
        <v>45.71</v>
      </c>
      <c r="S67" s="33">
        <v>0</v>
      </c>
      <c r="T67" s="33">
        <v>0</v>
      </c>
      <c r="U67" s="33">
        <v>0</v>
      </c>
      <c r="V67" s="33">
        <v>0</v>
      </c>
      <c r="W67" s="33">
        <v>2</v>
      </c>
      <c r="X67" s="33">
        <v>150</v>
      </c>
      <c r="Y67" s="33">
        <f t="shared" si="13"/>
        <v>300</v>
      </c>
      <c r="Z67" s="49">
        <f>((P67*$AF$7)+(Y67*$AF$8/100)*$AG$7)+Events!$H67+Events!$I67+Events!$J67+Events!$R67+Events!$Q67+Tabla1[[#This Row],[COMPLEMENT
RESPONSABLE EVENT]]</f>
        <v>445.42</v>
      </c>
      <c r="AA67" s="45"/>
      <c r="AB67" s="51" t="str">
        <f t="shared" si="11"/>
        <v/>
      </c>
    </row>
    <row r="68" spans="1:28" x14ac:dyDescent="0.3">
      <c r="A68" s="34">
        <v>45314</v>
      </c>
      <c r="B68" s="23">
        <v>45292</v>
      </c>
      <c r="C68" s="27" t="s">
        <v>110</v>
      </c>
      <c r="D68" s="27"/>
      <c r="E68" s="27"/>
      <c r="F68" s="27" t="s">
        <v>110</v>
      </c>
      <c r="G68" s="27"/>
      <c r="H68" s="27">
        <v>66.61</v>
      </c>
      <c r="I68" s="27">
        <v>73.72</v>
      </c>
      <c r="J68" s="27">
        <v>0</v>
      </c>
      <c r="K68" s="27">
        <v>0</v>
      </c>
      <c r="L68" s="27">
        <v>2</v>
      </c>
      <c r="M68" s="27">
        <v>5</v>
      </c>
      <c r="N68" s="27">
        <v>0</v>
      </c>
      <c r="O68" s="27">
        <v>0</v>
      </c>
      <c r="P68" s="27">
        <f t="shared" si="12"/>
        <v>10</v>
      </c>
      <c r="Q68" s="27">
        <v>0</v>
      </c>
      <c r="R68" s="27">
        <v>45.71</v>
      </c>
      <c r="S68" s="27">
        <v>0</v>
      </c>
      <c r="T68" s="27">
        <v>0</v>
      </c>
      <c r="U68" s="27">
        <v>0</v>
      </c>
      <c r="V68" s="27">
        <v>0</v>
      </c>
      <c r="W68" s="27">
        <v>2</v>
      </c>
      <c r="X68" s="27">
        <v>150</v>
      </c>
      <c r="Y68" s="27">
        <f t="shared" si="13"/>
        <v>300</v>
      </c>
      <c r="Z68" s="28">
        <f>((P68*$AF$7)+(Y68*$AF$8/100)*$AG$7)+Events!$H68+Events!$I68+Events!$J68+Events!$R68+Events!$Q68+Tabla1[[#This Row],[COMPLEMENT
RESPONSABLE EVENT]]</f>
        <v>445.42</v>
      </c>
      <c r="AA68" s="44"/>
      <c r="AB68" s="29" t="str">
        <f t="shared" si="11"/>
        <v/>
      </c>
    </row>
    <row r="69" spans="1:28" x14ac:dyDescent="0.3">
      <c r="A69" s="35">
        <v>45316</v>
      </c>
      <c r="B69" s="30">
        <v>45292</v>
      </c>
      <c r="C69" s="33" t="s">
        <v>110</v>
      </c>
      <c r="D69" s="33"/>
      <c r="E69" s="33"/>
      <c r="F69" s="33" t="s">
        <v>110</v>
      </c>
      <c r="G69" s="33"/>
      <c r="H69" s="33">
        <v>66.61</v>
      </c>
      <c r="I69" s="33">
        <v>73.72</v>
      </c>
      <c r="J69" s="33">
        <v>0</v>
      </c>
      <c r="K69" s="33">
        <v>0</v>
      </c>
      <c r="L69" s="33">
        <v>2</v>
      </c>
      <c r="M69" s="33">
        <v>5</v>
      </c>
      <c r="N69" s="33">
        <v>0</v>
      </c>
      <c r="O69" s="33">
        <v>0</v>
      </c>
      <c r="P69" s="33">
        <f t="shared" si="12"/>
        <v>10</v>
      </c>
      <c r="Q69" s="33">
        <v>0</v>
      </c>
      <c r="R69" s="33">
        <v>45.71</v>
      </c>
      <c r="S69" s="33">
        <v>0</v>
      </c>
      <c r="T69" s="33">
        <v>0</v>
      </c>
      <c r="U69" s="33">
        <v>0</v>
      </c>
      <c r="V69" s="33">
        <v>0</v>
      </c>
      <c r="W69" s="33">
        <v>2</v>
      </c>
      <c r="X69" s="33">
        <v>150</v>
      </c>
      <c r="Y69" s="33">
        <f t="shared" si="13"/>
        <v>300</v>
      </c>
      <c r="Z69" s="49">
        <f>((P69*$AF$7)+(Y69*$AF$8/100)*$AG$7)+Events!$H69+Events!$I69+Events!$J69+Events!$R69+Events!$Q69+Tabla1[[#This Row],[COMPLEMENT
RESPONSABLE EVENT]]</f>
        <v>445.42</v>
      </c>
      <c r="AA69" s="45"/>
      <c r="AB69" s="51" t="str">
        <f t="shared" si="11"/>
        <v/>
      </c>
    </row>
    <row r="70" spans="1:28" x14ac:dyDescent="0.3">
      <c r="A70" s="34">
        <v>45321</v>
      </c>
      <c r="B70" s="23">
        <v>45292</v>
      </c>
      <c r="C70" s="27" t="s">
        <v>110</v>
      </c>
      <c r="D70" s="27"/>
      <c r="E70" s="27"/>
      <c r="F70" s="27" t="s">
        <v>110</v>
      </c>
      <c r="G70" s="27"/>
      <c r="H70" s="27">
        <v>66.61</v>
      </c>
      <c r="I70" s="27">
        <v>73.72</v>
      </c>
      <c r="J70" s="27">
        <v>0</v>
      </c>
      <c r="K70" s="27">
        <v>0</v>
      </c>
      <c r="L70" s="27">
        <v>2</v>
      </c>
      <c r="M70" s="27">
        <v>5</v>
      </c>
      <c r="N70" s="27">
        <v>0</v>
      </c>
      <c r="O70" s="27">
        <v>0</v>
      </c>
      <c r="P70" s="27">
        <f t="shared" si="12"/>
        <v>10</v>
      </c>
      <c r="Q70" s="27">
        <v>0</v>
      </c>
      <c r="R70" s="27">
        <v>45.71</v>
      </c>
      <c r="S70" s="27">
        <v>0</v>
      </c>
      <c r="T70" s="27">
        <v>0</v>
      </c>
      <c r="U70" s="27">
        <v>0</v>
      </c>
      <c r="V70" s="27">
        <v>0</v>
      </c>
      <c r="W70" s="27">
        <v>2</v>
      </c>
      <c r="X70" s="27">
        <v>150</v>
      </c>
      <c r="Y70" s="27">
        <f t="shared" si="13"/>
        <v>300</v>
      </c>
      <c r="Z70" s="28">
        <f>((P70*$AF$7)+(Y70*$AF$8/100)*$AG$7)+Events!$H70+Events!$I70+Events!$J70+Events!$R70+Events!$Q70+Tabla1[[#This Row],[COMPLEMENT
RESPONSABLE EVENT]]</f>
        <v>445.42</v>
      </c>
      <c r="AA70" s="44"/>
      <c r="AB70" s="29" t="str">
        <f t="shared" si="11"/>
        <v/>
      </c>
    </row>
    <row r="71" spans="1:28" x14ac:dyDescent="0.3">
      <c r="A71" s="79">
        <v>45901</v>
      </c>
      <c r="B71" s="23">
        <v>45901</v>
      </c>
      <c r="C71" s="73" t="s">
        <v>34</v>
      </c>
      <c r="D71" s="39" t="s">
        <v>67</v>
      </c>
      <c r="E71" s="39"/>
      <c r="F71" s="27" t="s">
        <v>111</v>
      </c>
      <c r="G71" s="33" t="s">
        <v>112</v>
      </c>
      <c r="H71" s="27"/>
      <c r="I71" s="27"/>
      <c r="J71" s="27"/>
      <c r="K71" s="42"/>
      <c r="L71" s="27"/>
      <c r="M71" s="27"/>
      <c r="N71" s="27"/>
      <c r="O71" s="27"/>
      <c r="P71" s="27">
        <f t="shared" ref="P71:P94" si="14">(L71*M71)+(N71*O71)</f>
        <v>0</v>
      </c>
      <c r="Q71" s="42"/>
      <c r="R71" s="42"/>
      <c r="S71" s="27"/>
      <c r="T71" s="27"/>
      <c r="U71" s="27"/>
      <c r="V71" s="27"/>
      <c r="W71" s="27"/>
      <c r="X71" s="27"/>
      <c r="Y71" s="27">
        <f t="shared" ref="Y71:Y94" si="15">(S71*T71)+(W71*X71)+(U71*V71)</f>
        <v>0</v>
      </c>
      <c r="Z71" s="77">
        <f t="shared" ref="Z71:Z94" si="16">((P71*$AF$7)+(Y71*$AF$8/100)*$AG$7)</f>
        <v>0</v>
      </c>
      <c r="AA71" s="44">
        <v>16157.92</v>
      </c>
      <c r="AB71" s="46"/>
    </row>
    <row r="72" spans="1:28" x14ac:dyDescent="0.3">
      <c r="A72" s="79">
        <v>45901</v>
      </c>
      <c r="B72" s="23">
        <v>45901</v>
      </c>
      <c r="C72" s="73" t="s">
        <v>34</v>
      </c>
      <c r="D72" s="39" t="s">
        <v>30</v>
      </c>
      <c r="E72" s="39"/>
      <c r="F72" s="27" t="s">
        <v>113</v>
      </c>
      <c r="G72" s="33" t="s">
        <v>114</v>
      </c>
      <c r="H72" s="27"/>
      <c r="I72" s="27"/>
      <c r="J72" s="27"/>
      <c r="K72" s="76"/>
      <c r="L72" s="27"/>
      <c r="M72" s="27"/>
      <c r="N72" s="27"/>
      <c r="O72" s="27"/>
      <c r="P72" s="27">
        <f t="shared" si="14"/>
        <v>0</v>
      </c>
      <c r="Q72" s="76"/>
      <c r="R72" s="76"/>
      <c r="S72" s="27"/>
      <c r="T72" s="27"/>
      <c r="U72" s="27"/>
      <c r="V72" s="27"/>
      <c r="W72" s="27"/>
      <c r="X72" s="27"/>
      <c r="Y72" s="27">
        <f t="shared" si="15"/>
        <v>0</v>
      </c>
      <c r="Z72" s="77">
        <f t="shared" si="16"/>
        <v>0</v>
      </c>
      <c r="AA72" s="44">
        <v>3100</v>
      </c>
      <c r="AB72" s="46"/>
    </row>
    <row r="73" spans="1:28" x14ac:dyDescent="0.3">
      <c r="A73" s="79">
        <v>45902</v>
      </c>
      <c r="B73" s="23">
        <v>45901</v>
      </c>
      <c r="C73" s="73" t="s">
        <v>34</v>
      </c>
      <c r="D73" s="39" t="s">
        <v>67</v>
      </c>
      <c r="E73" s="39"/>
      <c r="F73" s="27" t="s">
        <v>86</v>
      </c>
      <c r="G73" s="33" t="s">
        <v>115</v>
      </c>
      <c r="H73" s="27"/>
      <c r="I73" s="27"/>
      <c r="J73" s="27"/>
      <c r="K73" s="76"/>
      <c r="L73" s="27"/>
      <c r="M73" s="27"/>
      <c r="N73" s="27"/>
      <c r="O73" s="27"/>
      <c r="P73" s="27">
        <f t="shared" si="14"/>
        <v>0</v>
      </c>
      <c r="Q73" s="76"/>
      <c r="R73" s="76"/>
      <c r="S73" s="27"/>
      <c r="T73" s="27"/>
      <c r="U73" s="27"/>
      <c r="V73" s="27"/>
      <c r="W73" s="27"/>
      <c r="X73" s="27"/>
      <c r="Y73" s="27">
        <f t="shared" si="15"/>
        <v>0</v>
      </c>
      <c r="Z73" s="77">
        <f t="shared" si="16"/>
        <v>0</v>
      </c>
      <c r="AA73" s="44">
        <v>8215</v>
      </c>
      <c r="AB73" s="46"/>
    </row>
    <row r="74" spans="1:28" x14ac:dyDescent="0.3">
      <c r="A74" s="79">
        <v>45904</v>
      </c>
      <c r="B74" s="23">
        <v>45901</v>
      </c>
      <c r="C74" s="73" t="s">
        <v>34</v>
      </c>
      <c r="D74" s="39" t="s">
        <v>30</v>
      </c>
      <c r="E74" s="39"/>
      <c r="F74" s="27" t="s">
        <v>116</v>
      </c>
      <c r="G74" s="33" t="s">
        <v>117</v>
      </c>
      <c r="H74" s="27"/>
      <c r="I74" s="27"/>
      <c r="J74" s="27"/>
      <c r="K74" s="76"/>
      <c r="L74" s="27"/>
      <c r="M74" s="27"/>
      <c r="N74" s="27"/>
      <c r="O74" s="27"/>
      <c r="P74" s="27">
        <f t="shared" si="14"/>
        <v>0</v>
      </c>
      <c r="Q74" s="76"/>
      <c r="R74" s="76"/>
      <c r="S74" s="27"/>
      <c r="T74" s="27"/>
      <c r="U74" s="27"/>
      <c r="V74" s="27"/>
      <c r="W74" s="27"/>
      <c r="X74" s="27"/>
      <c r="Y74" s="27">
        <f t="shared" si="15"/>
        <v>0</v>
      </c>
      <c r="Z74" s="77">
        <f t="shared" si="16"/>
        <v>0</v>
      </c>
      <c r="AA74" s="44">
        <v>4950</v>
      </c>
      <c r="AB74" s="46"/>
    </row>
    <row r="75" spans="1:28" x14ac:dyDescent="0.3">
      <c r="A75" s="79">
        <v>45904</v>
      </c>
      <c r="B75" s="23">
        <v>45901</v>
      </c>
      <c r="C75" s="73" t="s">
        <v>34</v>
      </c>
      <c r="D75" s="39" t="s">
        <v>30</v>
      </c>
      <c r="E75" s="39"/>
      <c r="F75" s="27" t="s">
        <v>82</v>
      </c>
      <c r="G75" s="33" t="s">
        <v>118</v>
      </c>
      <c r="H75" s="27"/>
      <c r="I75" s="27"/>
      <c r="J75" s="27"/>
      <c r="K75" s="76"/>
      <c r="L75" s="27"/>
      <c r="M75" s="27"/>
      <c r="N75" s="27"/>
      <c r="O75" s="27"/>
      <c r="P75" s="27">
        <f t="shared" si="14"/>
        <v>0</v>
      </c>
      <c r="Q75" s="76"/>
      <c r="R75" s="76"/>
      <c r="S75" s="27"/>
      <c r="T75" s="27"/>
      <c r="U75" s="27"/>
      <c r="V75" s="27"/>
      <c r="W75" s="27"/>
      <c r="X75" s="27"/>
      <c r="Y75" s="27">
        <f t="shared" si="15"/>
        <v>0</v>
      </c>
      <c r="Z75" s="77">
        <f t="shared" si="16"/>
        <v>0</v>
      </c>
      <c r="AA75" s="44">
        <v>6000.5</v>
      </c>
      <c r="AB75" s="46"/>
    </row>
    <row r="76" spans="1:28" x14ac:dyDescent="0.3">
      <c r="A76" s="79">
        <v>45904</v>
      </c>
      <c r="B76" s="23">
        <v>45901</v>
      </c>
      <c r="C76" s="73" t="s">
        <v>34</v>
      </c>
      <c r="D76" s="39" t="s">
        <v>30</v>
      </c>
      <c r="E76" s="39"/>
      <c r="F76" s="27" t="s">
        <v>91</v>
      </c>
      <c r="G76" s="33" t="s">
        <v>119</v>
      </c>
      <c r="H76" s="27"/>
      <c r="I76" s="27"/>
      <c r="J76" s="27"/>
      <c r="K76" s="76"/>
      <c r="L76" s="27"/>
      <c r="M76" s="27"/>
      <c r="N76" s="27"/>
      <c r="O76" s="27"/>
      <c r="P76" s="27">
        <f t="shared" si="14"/>
        <v>0</v>
      </c>
      <c r="Q76" s="76"/>
      <c r="R76" s="76"/>
      <c r="S76" s="27"/>
      <c r="T76" s="27"/>
      <c r="U76" s="27"/>
      <c r="V76" s="27"/>
      <c r="W76" s="27"/>
      <c r="X76" s="27"/>
      <c r="Y76" s="27">
        <f t="shared" si="15"/>
        <v>0</v>
      </c>
      <c r="Z76" s="77">
        <f t="shared" si="16"/>
        <v>0</v>
      </c>
      <c r="AA76" s="44">
        <v>30300</v>
      </c>
      <c r="AB76" s="46"/>
    </row>
    <row r="77" spans="1:28" x14ac:dyDescent="0.3">
      <c r="A77" s="79">
        <v>45904</v>
      </c>
      <c r="B77" s="23">
        <v>45901</v>
      </c>
      <c r="C77" s="73" t="s">
        <v>34</v>
      </c>
      <c r="D77" s="39" t="s">
        <v>30</v>
      </c>
      <c r="E77" s="39"/>
      <c r="F77" s="27" t="s">
        <v>97</v>
      </c>
      <c r="G77" s="33" t="s">
        <v>120</v>
      </c>
      <c r="H77" s="27"/>
      <c r="I77" s="27"/>
      <c r="J77" s="27"/>
      <c r="K77" s="76"/>
      <c r="L77" s="27"/>
      <c r="M77" s="27"/>
      <c r="N77" s="27"/>
      <c r="O77" s="27"/>
      <c r="P77" s="27">
        <f t="shared" si="14"/>
        <v>0</v>
      </c>
      <c r="Q77" s="76"/>
      <c r="R77" s="76"/>
      <c r="S77" s="27"/>
      <c r="T77" s="27"/>
      <c r="U77" s="27"/>
      <c r="V77" s="27"/>
      <c r="W77" s="27"/>
      <c r="X77" s="27"/>
      <c r="Y77" s="27">
        <f t="shared" si="15"/>
        <v>0</v>
      </c>
      <c r="Z77" s="77">
        <f t="shared" si="16"/>
        <v>0</v>
      </c>
      <c r="AA77" s="44">
        <v>4229.5</v>
      </c>
      <c r="AB77" s="46"/>
    </row>
    <row r="78" spans="1:28" x14ac:dyDescent="0.3">
      <c r="A78" s="79">
        <v>45904</v>
      </c>
      <c r="B78" s="23">
        <v>45901</v>
      </c>
      <c r="C78" s="73" t="s">
        <v>34</v>
      </c>
      <c r="D78" s="39" t="s">
        <v>30</v>
      </c>
      <c r="E78" s="39"/>
      <c r="F78" s="27" t="s">
        <v>121</v>
      </c>
      <c r="G78" s="33" t="s">
        <v>122</v>
      </c>
      <c r="H78" s="27"/>
      <c r="I78" s="27"/>
      <c r="J78" s="27"/>
      <c r="K78" s="76"/>
      <c r="L78" s="27"/>
      <c r="M78" s="27"/>
      <c r="N78" s="27"/>
      <c r="O78" s="27"/>
      <c r="P78" s="27">
        <f t="shared" si="14"/>
        <v>0</v>
      </c>
      <c r="Q78" s="76"/>
      <c r="R78" s="76"/>
      <c r="S78" s="27"/>
      <c r="T78" s="27"/>
      <c r="U78" s="27"/>
      <c r="V78" s="27"/>
      <c r="W78" s="27"/>
      <c r="X78" s="27"/>
      <c r="Y78" s="27">
        <f t="shared" si="15"/>
        <v>0</v>
      </c>
      <c r="Z78" s="77">
        <f t="shared" si="16"/>
        <v>0</v>
      </c>
      <c r="AA78" s="44">
        <v>43354.2</v>
      </c>
      <c r="AB78" s="46"/>
    </row>
    <row r="79" spans="1:28" x14ac:dyDescent="0.3">
      <c r="A79" s="79">
        <v>45905</v>
      </c>
      <c r="B79" s="23">
        <v>45901</v>
      </c>
      <c r="C79" s="73" t="s">
        <v>34</v>
      </c>
      <c r="D79" s="39" t="s">
        <v>30</v>
      </c>
      <c r="E79" s="39"/>
      <c r="F79" s="27" t="s">
        <v>123</v>
      </c>
      <c r="G79" s="33" t="s">
        <v>124</v>
      </c>
      <c r="H79" s="27"/>
      <c r="I79" s="27"/>
      <c r="J79" s="27"/>
      <c r="K79" s="76"/>
      <c r="L79" s="27"/>
      <c r="M79" s="27"/>
      <c r="N79" s="27"/>
      <c r="O79" s="27"/>
      <c r="P79" s="27">
        <f t="shared" si="14"/>
        <v>0</v>
      </c>
      <c r="Q79" s="76"/>
      <c r="R79" s="76"/>
      <c r="S79" s="27"/>
      <c r="T79" s="27"/>
      <c r="U79" s="27"/>
      <c r="V79" s="27"/>
      <c r="W79" s="27"/>
      <c r="X79" s="27"/>
      <c r="Y79" s="27">
        <f t="shared" si="15"/>
        <v>0</v>
      </c>
      <c r="Z79" s="77">
        <f t="shared" si="16"/>
        <v>0</v>
      </c>
      <c r="AA79" s="44">
        <v>4000</v>
      </c>
      <c r="AB79" s="46"/>
    </row>
    <row r="80" spans="1:28" x14ac:dyDescent="0.3">
      <c r="A80" s="79">
        <v>45905</v>
      </c>
      <c r="B80" s="23">
        <v>45901</v>
      </c>
      <c r="C80" s="73" t="s">
        <v>29</v>
      </c>
      <c r="D80" s="39" t="s">
        <v>67</v>
      </c>
      <c r="E80" s="39"/>
      <c r="F80" s="27" t="s">
        <v>125</v>
      </c>
      <c r="G80" s="33" t="s">
        <v>126</v>
      </c>
      <c r="H80" s="27"/>
      <c r="I80" s="27"/>
      <c r="J80" s="27"/>
      <c r="K80" s="76"/>
      <c r="L80" s="27"/>
      <c r="M80" s="27"/>
      <c r="N80" s="27"/>
      <c r="O80" s="27"/>
      <c r="P80" s="27">
        <f t="shared" si="14"/>
        <v>0</v>
      </c>
      <c r="Q80" s="76"/>
      <c r="R80" s="76"/>
      <c r="S80" s="27"/>
      <c r="T80" s="27"/>
      <c r="U80" s="27"/>
      <c r="V80" s="27"/>
      <c r="W80" s="27"/>
      <c r="X80" s="27"/>
      <c r="Y80" s="27">
        <f t="shared" si="15"/>
        <v>0</v>
      </c>
      <c r="Z80" s="77">
        <f t="shared" si="16"/>
        <v>0</v>
      </c>
      <c r="AA80" s="44">
        <v>18159.349999999999</v>
      </c>
      <c r="AB80" s="46"/>
    </row>
    <row r="81" spans="1:28" x14ac:dyDescent="0.3">
      <c r="A81" s="79">
        <v>45905</v>
      </c>
      <c r="B81" s="23">
        <v>45901</v>
      </c>
      <c r="C81" s="73" t="s">
        <v>34</v>
      </c>
      <c r="D81" s="39" t="s">
        <v>30</v>
      </c>
      <c r="E81" s="39"/>
      <c r="F81" s="27" t="s">
        <v>127</v>
      </c>
      <c r="G81" s="33" t="s">
        <v>128</v>
      </c>
      <c r="H81" s="27"/>
      <c r="I81" s="27"/>
      <c r="J81" s="27"/>
      <c r="K81" s="76"/>
      <c r="L81" s="27"/>
      <c r="M81" s="27"/>
      <c r="N81" s="27"/>
      <c r="O81" s="27"/>
      <c r="P81" s="27">
        <f t="shared" si="14"/>
        <v>0</v>
      </c>
      <c r="Q81" s="76"/>
      <c r="R81" s="76"/>
      <c r="S81" s="27"/>
      <c r="T81" s="27"/>
      <c r="U81" s="27"/>
      <c r="V81" s="27"/>
      <c r="W81" s="27"/>
      <c r="X81" s="27"/>
      <c r="Y81" s="27">
        <f t="shared" si="15"/>
        <v>0</v>
      </c>
      <c r="Z81" s="77">
        <f t="shared" si="16"/>
        <v>0</v>
      </c>
      <c r="AA81" s="44">
        <v>7300</v>
      </c>
      <c r="AB81" s="46"/>
    </row>
    <row r="82" spans="1:28" x14ac:dyDescent="0.3">
      <c r="A82" s="79">
        <v>45905</v>
      </c>
      <c r="B82" s="23">
        <v>45901</v>
      </c>
      <c r="C82" s="73" t="s">
        <v>29</v>
      </c>
      <c r="D82" s="39" t="s">
        <v>67</v>
      </c>
      <c r="E82" s="39"/>
      <c r="F82" s="27" t="s">
        <v>76</v>
      </c>
      <c r="G82" s="33" t="s">
        <v>129</v>
      </c>
      <c r="H82" s="27"/>
      <c r="I82" s="27"/>
      <c r="J82" s="27"/>
      <c r="K82" s="76"/>
      <c r="L82" s="27"/>
      <c r="M82" s="27"/>
      <c r="N82" s="27"/>
      <c r="O82" s="27"/>
      <c r="P82" s="27">
        <f t="shared" si="14"/>
        <v>0</v>
      </c>
      <c r="Q82" s="76"/>
      <c r="R82" s="76"/>
      <c r="S82" s="27"/>
      <c r="T82" s="27"/>
      <c r="U82" s="27"/>
      <c r="V82" s="27"/>
      <c r="W82" s="27"/>
      <c r="X82" s="27"/>
      <c r="Y82" s="27">
        <f t="shared" si="15"/>
        <v>0</v>
      </c>
      <c r="Z82" s="77">
        <f t="shared" si="16"/>
        <v>0</v>
      </c>
      <c r="AA82" s="44">
        <v>15800.73</v>
      </c>
      <c r="AB82" s="46"/>
    </row>
    <row r="83" spans="1:28" x14ac:dyDescent="0.3">
      <c r="A83" s="79">
        <v>45905</v>
      </c>
      <c r="B83" s="23">
        <v>45901</v>
      </c>
      <c r="C83" s="73" t="s">
        <v>34</v>
      </c>
      <c r="D83" s="39" t="s">
        <v>30</v>
      </c>
      <c r="E83" s="39"/>
      <c r="F83" s="27" t="s">
        <v>130</v>
      </c>
      <c r="G83" s="33" t="s">
        <v>131</v>
      </c>
      <c r="H83" s="27"/>
      <c r="I83" s="27"/>
      <c r="J83" s="27"/>
      <c r="K83" s="76"/>
      <c r="L83" s="27"/>
      <c r="M83" s="27"/>
      <c r="N83" s="27"/>
      <c r="O83" s="27"/>
      <c r="P83" s="27">
        <f t="shared" si="14"/>
        <v>0</v>
      </c>
      <c r="Q83" s="76"/>
      <c r="R83" s="76"/>
      <c r="S83" s="27"/>
      <c r="T83" s="27"/>
      <c r="U83" s="27"/>
      <c r="V83" s="27"/>
      <c r="W83" s="27"/>
      <c r="X83" s="27"/>
      <c r="Y83" s="27">
        <f t="shared" si="15"/>
        <v>0</v>
      </c>
      <c r="Z83" s="77">
        <f t="shared" si="16"/>
        <v>0</v>
      </c>
      <c r="AA83" s="44">
        <v>11964</v>
      </c>
      <c r="AB83" s="46"/>
    </row>
    <row r="84" spans="1:28" x14ac:dyDescent="0.3">
      <c r="A84" s="79">
        <v>45905</v>
      </c>
      <c r="B84" s="23">
        <v>45901</v>
      </c>
      <c r="C84" s="73" t="s">
        <v>34</v>
      </c>
      <c r="D84" s="39" t="s">
        <v>30</v>
      </c>
      <c r="E84" s="39"/>
      <c r="F84" s="27" t="s">
        <v>97</v>
      </c>
      <c r="G84" s="33" t="s">
        <v>132</v>
      </c>
      <c r="H84" s="27"/>
      <c r="I84" s="27"/>
      <c r="J84" s="27"/>
      <c r="K84" s="76"/>
      <c r="L84" s="27"/>
      <c r="M84" s="27"/>
      <c r="N84" s="27"/>
      <c r="O84" s="27"/>
      <c r="P84" s="27">
        <f t="shared" si="14"/>
        <v>0</v>
      </c>
      <c r="Q84" s="76"/>
      <c r="R84" s="76"/>
      <c r="S84" s="27"/>
      <c r="T84" s="27"/>
      <c r="U84" s="27"/>
      <c r="V84" s="27"/>
      <c r="W84" s="27"/>
      <c r="X84" s="27"/>
      <c r="Y84" s="27">
        <f t="shared" si="15"/>
        <v>0</v>
      </c>
      <c r="Z84" s="77">
        <f t="shared" si="16"/>
        <v>0</v>
      </c>
      <c r="AA84" s="44">
        <v>12760</v>
      </c>
      <c r="AB84" s="46"/>
    </row>
    <row r="85" spans="1:28" x14ac:dyDescent="0.3">
      <c r="A85" s="79">
        <v>45905</v>
      </c>
      <c r="B85" s="23">
        <v>45901</v>
      </c>
      <c r="C85" s="65" t="s">
        <v>34</v>
      </c>
      <c r="D85" s="39" t="s">
        <v>67</v>
      </c>
      <c r="E85" s="39"/>
      <c r="F85" s="27" t="s">
        <v>69</v>
      </c>
      <c r="G85" s="33" t="s">
        <v>133</v>
      </c>
      <c r="H85" s="27"/>
      <c r="I85" s="27"/>
      <c r="J85" s="27"/>
      <c r="K85" s="76"/>
      <c r="L85" s="27"/>
      <c r="M85" s="27"/>
      <c r="N85" s="27"/>
      <c r="O85" s="27"/>
      <c r="P85" s="27">
        <f t="shared" si="14"/>
        <v>0</v>
      </c>
      <c r="Q85" s="76"/>
      <c r="R85" s="76"/>
      <c r="S85" s="27"/>
      <c r="T85" s="27"/>
      <c r="U85" s="27"/>
      <c r="V85" s="27"/>
      <c r="W85" s="27"/>
      <c r="X85" s="27"/>
      <c r="Y85" s="27">
        <f t="shared" si="15"/>
        <v>0</v>
      </c>
      <c r="Z85" s="77">
        <f t="shared" si="16"/>
        <v>0</v>
      </c>
      <c r="AA85" s="44">
        <v>6340</v>
      </c>
      <c r="AB85" s="46"/>
    </row>
    <row r="86" spans="1:28" x14ac:dyDescent="0.3">
      <c r="A86" s="79">
        <v>45906</v>
      </c>
      <c r="B86" s="23">
        <v>45901</v>
      </c>
      <c r="C86" s="65" t="s">
        <v>29</v>
      </c>
      <c r="D86" s="39" t="s">
        <v>30</v>
      </c>
      <c r="E86" s="39"/>
      <c r="F86" s="27" t="s">
        <v>134</v>
      </c>
      <c r="G86" s="33" t="s">
        <v>135</v>
      </c>
      <c r="H86" s="27"/>
      <c r="I86" s="27"/>
      <c r="J86" s="27"/>
      <c r="K86" s="76"/>
      <c r="L86" s="27"/>
      <c r="M86" s="27"/>
      <c r="N86" s="27"/>
      <c r="O86" s="27"/>
      <c r="P86" s="27">
        <f t="shared" si="14"/>
        <v>0</v>
      </c>
      <c r="Q86" s="76"/>
      <c r="R86" s="76"/>
      <c r="S86" s="27"/>
      <c r="T86" s="27"/>
      <c r="U86" s="27"/>
      <c r="V86" s="27"/>
      <c r="W86" s="27"/>
      <c r="X86" s="27"/>
      <c r="Y86" s="27">
        <f t="shared" si="15"/>
        <v>0</v>
      </c>
      <c r="Z86" s="77">
        <f t="shared" si="16"/>
        <v>0</v>
      </c>
      <c r="AA86" s="44">
        <f>19839.5+500</f>
        <v>20339.5</v>
      </c>
      <c r="AB86" s="46"/>
    </row>
    <row r="87" spans="1:28" x14ac:dyDescent="0.3">
      <c r="A87" s="79">
        <v>45906</v>
      </c>
      <c r="B87" s="23">
        <v>45901</v>
      </c>
      <c r="C87" s="65" t="s">
        <v>29</v>
      </c>
      <c r="D87" s="39" t="s">
        <v>30</v>
      </c>
      <c r="E87" s="39"/>
      <c r="F87" s="27" t="s">
        <v>136</v>
      </c>
      <c r="G87" s="33" t="s">
        <v>137</v>
      </c>
      <c r="H87" s="27"/>
      <c r="I87" s="27"/>
      <c r="J87" s="27"/>
      <c r="K87" s="76"/>
      <c r="L87" s="27"/>
      <c r="M87" s="27"/>
      <c r="N87" s="27"/>
      <c r="O87" s="27"/>
      <c r="P87" s="27">
        <f t="shared" si="14"/>
        <v>0</v>
      </c>
      <c r="Q87" s="76"/>
      <c r="R87" s="76"/>
      <c r="S87" s="27"/>
      <c r="T87" s="27"/>
      <c r="U87" s="27"/>
      <c r="V87" s="27"/>
      <c r="W87" s="27"/>
      <c r="X87" s="27"/>
      <c r="Y87" s="27">
        <f t="shared" si="15"/>
        <v>0</v>
      </c>
      <c r="Z87" s="77">
        <f t="shared" si="16"/>
        <v>0</v>
      </c>
      <c r="AA87" s="44">
        <v>24285</v>
      </c>
      <c r="AB87" s="46"/>
    </row>
    <row r="88" spans="1:28" x14ac:dyDescent="0.3">
      <c r="A88" s="79">
        <v>45906</v>
      </c>
      <c r="B88" s="23">
        <v>45901</v>
      </c>
      <c r="C88" s="65" t="s">
        <v>29</v>
      </c>
      <c r="D88" s="39" t="s">
        <v>67</v>
      </c>
      <c r="E88" s="39"/>
      <c r="F88" s="27" t="s">
        <v>69</v>
      </c>
      <c r="G88" s="33" t="s">
        <v>138</v>
      </c>
      <c r="H88" s="27"/>
      <c r="I88" s="27"/>
      <c r="J88" s="27"/>
      <c r="K88" s="76"/>
      <c r="L88" s="27"/>
      <c r="M88" s="27"/>
      <c r="N88" s="27"/>
      <c r="O88" s="27"/>
      <c r="P88" s="27">
        <f t="shared" si="14"/>
        <v>0</v>
      </c>
      <c r="Q88" s="76"/>
      <c r="R88" s="76"/>
      <c r="S88" s="27"/>
      <c r="T88" s="27"/>
      <c r="U88" s="27"/>
      <c r="V88" s="27"/>
      <c r="W88" s="27"/>
      <c r="X88" s="27"/>
      <c r="Y88" s="27">
        <f t="shared" si="15"/>
        <v>0</v>
      </c>
      <c r="Z88" s="77">
        <f t="shared" si="16"/>
        <v>0</v>
      </c>
      <c r="AA88" s="44">
        <v>20069.88</v>
      </c>
      <c r="AB88" s="46"/>
    </row>
    <row r="89" spans="1:28" x14ac:dyDescent="0.3">
      <c r="A89" s="79">
        <v>45906</v>
      </c>
      <c r="B89" s="23">
        <v>45901</v>
      </c>
      <c r="C89" s="65" t="s">
        <v>29</v>
      </c>
      <c r="D89" s="39" t="s">
        <v>67</v>
      </c>
      <c r="E89" s="39"/>
      <c r="F89" s="27" t="s">
        <v>139</v>
      </c>
      <c r="G89" s="33" t="s">
        <v>140</v>
      </c>
      <c r="H89" s="27"/>
      <c r="I89" s="27"/>
      <c r="J89" s="27"/>
      <c r="K89" s="76"/>
      <c r="L89" s="27"/>
      <c r="M89" s="27"/>
      <c r="N89" s="27"/>
      <c r="O89" s="27"/>
      <c r="P89" s="27">
        <f t="shared" si="14"/>
        <v>0</v>
      </c>
      <c r="Q89" s="76"/>
      <c r="R89" s="76"/>
      <c r="S89" s="27"/>
      <c r="T89" s="27"/>
      <c r="U89" s="27"/>
      <c r="V89" s="27"/>
      <c r="W89" s="27"/>
      <c r="X89" s="27"/>
      <c r="Y89" s="27">
        <f t="shared" si="15"/>
        <v>0</v>
      </c>
      <c r="Z89" s="77">
        <f t="shared" si="16"/>
        <v>0</v>
      </c>
      <c r="AA89" s="44">
        <v>19767.93</v>
      </c>
      <c r="AB89" s="46"/>
    </row>
    <row r="90" spans="1:28" x14ac:dyDescent="0.3">
      <c r="A90" s="79">
        <v>45906</v>
      </c>
      <c r="B90" s="23">
        <v>45901</v>
      </c>
      <c r="C90" s="65" t="s">
        <v>29</v>
      </c>
      <c r="D90" s="39" t="s">
        <v>67</v>
      </c>
      <c r="E90" s="39"/>
      <c r="F90" s="27" t="s">
        <v>125</v>
      </c>
      <c r="G90" s="33" t="s">
        <v>141</v>
      </c>
      <c r="H90" s="27"/>
      <c r="I90" s="27"/>
      <c r="J90" s="27"/>
      <c r="K90" s="76"/>
      <c r="L90" s="27"/>
      <c r="M90" s="27"/>
      <c r="N90" s="27"/>
      <c r="O90" s="27"/>
      <c r="P90" s="27">
        <f t="shared" si="14"/>
        <v>0</v>
      </c>
      <c r="Q90" s="76"/>
      <c r="R90" s="76"/>
      <c r="S90" s="27"/>
      <c r="T90" s="27"/>
      <c r="U90" s="27"/>
      <c r="V90" s="27"/>
      <c r="W90" s="27"/>
      <c r="X90" s="27"/>
      <c r="Y90" s="27">
        <f t="shared" si="15"/>
        <v>0</v>
      </c>
      <c r="Z90" s="77">
        <f t="shared" si="16"/>
        <v>0</v>
      </c>
      <c r="AA90" s="44">
        <v>22358.48</v>
      </c>
      <c r="AB90" s="46"/>
    </row>
    <row r="91" spans="1:28" x14ac:dyDescent="0.3">
      <c r="A91" s="79">
        <v>45906</v>
      </c>
      <c r="B91" s="23">
        <v>45901</v>
      </c>
      <c r="C91" s="65" t="s">
        <v>29</v>
      </c>
      <c r="D91" s="39" t="s">
        <v>67</v>
      </c>
      <c r="E91" s="39"/>
      <c r="F91" s="27" t="s">
        <v>86</v>
      </c>
      <c r="G91" s="33" t="s">
        <v>142</v>
      </c>
      <c r="H91" s="27"/>
      <c r="I91" s="27"/>
      <c r="J91" s="27"/>
      <c r="K91" s="76"/>
      <c r="L91" s="27"/>
      <c r="M91" s="27"/>
      <c r="N91" s="27"/>
      <c r="O91" s="27"/>
      <c r="P91" s="27">
        <f t="shared" si="14"/>
        <v>0</v>
      </c>
      <c r="Q91" s="76"/>
      <c r="R91" s="76"/>
      <c r="S91" s="27"/>
      <c r="T91" s="27"/>
      <c r="U91" s="27"/>
      <c r="V91" s="27"/>
      <c r="W91" s="27"/>
      <c r="X91" s="27"/>
      <c r="Y91" s="27">
        <f t="shared" si="15"/>
        <v>0</v>
      </c>
      <c r="Z91" s="77">
        <f t="shared" si="16"/>
        <v>0</v>
      </c>
      <c r="AA91" s="44">
        <v>18694.18</v>
      </c>
      <c r="AB91" s="46"/>
    </row>
    <row r="92" spans="1:28" x14ac:dyDescent="0.3">
      <c r="A92" s="79">
        <v>45906</v>
      </c>
      <c r="B92" s="23">
        <v>45901</v>
      </c>
      <c r="C92" s="65" t="s">
        <v>29</v>
      </c>
      <c r="D92" s="39" t="s">
        <v>67</v>
      </c>
      <c r="E92" s="39"/>
      <c r="F92" s="27" t="s">
        <v>76</v>
      </c>
      <c r="G92" s="33" t="s">
        <v>143</v>
      </c>
      <c r="H92" s="27"/>
      <c r="I92" s="27"/>
      <c r="J92" s="27"/>
      <c r="K92" s="76"/>
      <c r="L92" s="27"/>
      <c r="M92" s="27"/>
      <c r="N92" s="27"/>
      <c r="O92" s="27"/>
      <c r="P92" s="27">
        <f t="shared" si="14"/>
        <v>0</v>
      </c>
      <c r="Q92" s="76"/>
      <c r="R92" s="76"/>
      <c r="S92" s="27"/>
      <c r="T92" s="27"/>
      <c r="U92" s="27"/>
      <c r="V92" s="27"/>
      <c r="W92" s="27"/>
      <c r="X92" s="27"/>
      <c r="Y92" s="27">
        <f t="shared" si="15"/>
        <v>0</v>
      </c>
      <c r="Z92" s="77">
        <f t="shared" si="16"/>
        <v>0</v>
      </c>
      <c r="AA92" s="44">
        <v>21599.88</v>
      </c>
      <c r="AB92" s="46"/>
    </row>
    <row r="93" spans="1:28" x14ac:dyDescent="0.3">
      <c r="A93" s="79">
        <v>45906</v>
      </c>
      <c r="B93" s="23">
        <v>45901</v>
      </c>
      <c r="C93" s="65" t="s">
        <v>29</v>
      </c>
      <c r="D93" s="39" t="s">
        <v>30</v>
      </c>
      <c r="E93" s="39"/>
      <c r="F93" s="27" t="s">
        <v>144</v>
      </c>
      <c r="G93" s="33" t="s">
        <v>145</v>
      </c>
      <c r="H93" s="27"/>
      <c r="I93" s="27"/>
      <c r="J93" s="27"/>
      <c r="K93" s="76"/>
      <c r="L93" s="27"/>
      <c r="M93" s="27"/>
      <c r="N93" s="27"/>
      <c r="O93" s="27"/>
      <c r="P93" s="27">
        <f t="shared" si="14"/>
        <v>0</v>
      </c>
      <c r="Q93" s="76"/>
      <c r="R93" s="76"/>
      <c r="S93" s="27"/>
      <c r="T93" s="27"/>
      <c r="U93" s="27"/>
      <c r="V93" s="27"/>
      <c r="W93" s="27"/>
      <c r="X93" s="27"/>
      <c r="Y93" s="27">
        <f t="shared" si="15"/>
        <v>0</v>
      </c>
      <c r="Z93" s="77">
        <f t="shared" si="16"/>
        <v>0</v>
      </c>
      <c r="AA93" s="44">
        <v>19946.5</v>
      </c>
      <c r="AB93" s="46"/>
    </row>
    <row r="94" spans="1:28" x14ac:dyDescent="0.3">
      <c r="A94" s="80">
        <v>45907</v>
      </c>
      <c r="B94" s="23">
        <v>45901</v>
      </c>
      <c r="C94" s="73" t="s">
        <v>34</v>
      </c>
      <c r="D94" s="41" t="s">
        <v>30</v>
      </c>
      <c r="E94" s="41"/>
      <c r="F94" s="53" t="s">
        <v>146</v>
      </c>
      <c r="G94" s="42" t="s">
        <v>147</v>
      </c>
      <c r="H94" s="53"/>
      <c r="I94" s="53"/>
      <c r="J94" s="53"/>
      <c r="K94" s="76"/>
      <c r="L94" s="53"/>
      <c r="M94" s="53"/>
      <c r="N94" s="53"/>
      <c r="O94" s="53"/>
      <c r="P94" s="53">
        <f t="shared" si="14"/>
        <v>0</v>
      </c>
      <c r="Q94" s="76"/>
      <c r="R94" s="76"/>
      <c r="S94" s="53"/>
      <c r="T94" s="53"/>
      <c r="U94" s="53"/>
      <c r="V94" s="53"/>
      <c r="W94" s="53"/>
      <c r="X94" s="53"/>
      <c r="Y94" s="53">
        <f t="shared" si="15"/>
        <v>0</v>
      </c>
      <c r="Z94" s="78">
        <f t="shared" si="16"/>
        <v>0</v>
      </c>
      <c r="AA94" s="74">
        <v>2420</v>
      </c>
      <c r="AB94" s="75"/>
    </row>
    <row r="95" spans="1:28" x14ac:dyDescent="0.3">
      <c r="A95" s="79">
        <v>45908</v>
      </c>
      <c r="B95" s="23">
        <v>45901</v>
      </c>
      <c r="C95" s="65" t="s">
        <v>34</v>
      </c>
      <c r="D95" s="39" t="s">
        <v>30</v>
      </c>
      <c r="E95" s="39"/>
      <c r="F95" s="27" t="s">
        <v>148</v>
      </c>
      <c r="G95" s="33" t="s">
        <v>149</v>
      </c>
      <c r="H95" s="27"/>
      <c r="I95" s="27"/>
      <c r="J95" s="27"/>
      <c r="K95" s="42"/>
      <c r="L95" s="27"/>
      <c r="M95" s="27"/>
      <c r="N95" s="27"/>
      <c r="O95" s="27"/>
      <c r="P95" s="27">
        <f t="shared" ref="P95:P109" si="17">(L95*M95)+(N95*O95)</f>
        <v>0</v>
      </c>
      <c r="Q95" s="42"/>
      <c r="R95" s="42"/>
      <c r="S95" s="27"/>
      <c r="T95" s="27"/>
      <c r="U95" s="27"/>
      <c r="V95" s="27"/>
      <c r="W95" s="27"/>
      <c r="X95" s="27"/>
      <c r="Y95" s="27">
        <f t="shared" ref="Y95:Y109" si="18">(S95*T95)+(W95*X95)+(U95*V95)</f>
        <v>0</v>
      </c>
      <c r="Z95" s="77">
        <f t="shared" ref="Z95:Z109" si="19">((P95*$AF$7)+(Y95*$AF$8/100)*$AG$7)</f>
        <v>0</v>
      </c>
      <c r="AA95" s="44">
        <v>147245</v>
      </c>
      <c r="AB95" s="46"/>
    </row>
    <row r="96" spans="1:28" x14ac:dyDescent="0.3">
      <c r="A96" s="79">
        <v>45908</v>
      </c>
      <c r="B96" s="23">
        <v>45901</v>
      </c>
      <c r="C96" s="65" t="s">
        <v>34</v>
      </c>
      <c r="D96" s="39" t="s">
        <v>67</v>
      </c>
      <c r="E96" s="39"/>
      <c r="F96" s="27" t="s">
        <v>76</v>
      </c>
      <c r="G96" s="33" t="s">
        <v>150</v>
      </c>
      <c r="H96" s="27"/>
      <c r="I96" s="27"/>
      <c r="J96" s="27"/>
      <c r="K96" s="76"/>
      <c r="L96" s="27"/>
      <c r="M96" s="27"/>
      <c r="N96" s="27"/>
      <c r="O96" s="27"/>
      <c r="P96" s="27">
        <f t="shared" si="17"/>
        <v>0</v>
      </c>
      <c r="Q96" s="76"/>
      <c r="R96" s="76"/>
      <c r="S96" s="27"/>
      <c r="T96" s="27"/>
      <c r="U96" s="27"/>
      <c r="V96" s="27"/>
      <c r="W96" s="27"/>
      <c r="X96" s="27"/>
      <c r="Y96" s="27">
        <f t="shared" si="18"/>
        <v>0</v>
      </c>
      <c r="Z96" s="77">
        <f t="shared" si="19"/>
        <v>0</v>
      </c>
      <c r="AA96" s="44">
        <v>23907.4</v>
      </c>
      <c r="AB96" s="46"/>
    </row>
    <row r="97" spans="1:28" x14ac:dyDescent="0.3">
      <c r="A97" s="79">
        <v>45909</v>
      </c>
      <c r="B97" s="23">
        <v>45901</v>
      </c>
      <c r="C97" s="65" t="s">
        <v>29</v>
      </c>
      <c r="D97" s="39" t="s">
        <v>30</v>
      </c>
      <c r="E97" s="39"/>
      <c r="F97" s="27" t="s">
        <v>136</v>
      </c>
      <c r="G97" s="33" t="s">
        <v>151</v>
      </c>
      <c r="H97" s="27"/>
      <c r="I97" s="27"/>
      <c r="J97" s="27"/>
      <c r="K97" s="76"/>
      <c r="L97" s="27"/>
      <c r="M97" s="27"/>
      <c r="N97" s="27"/>
      <c r="O97" s="27"/>
      <c r="P97" s="27">
        <f t="shared" si="17"/>
        <v>0</v>
      </c>
      <c r="Q97" s="76"/>
      <c r="R97" s="76"/>
      <c r="S97" s="27"/>
      <c r="T97" s="27"/>
      <c r="U97" s="27"/>
      <c r="V97" s="27"/>
      <c r="W97" s="27"/>
      <c r="X97" s="27"/>
      <c r="Y97" s="27">
        <f t="shared" si="18"/>
        <v>0</v>
      </c>
      <c r="Z97" s="77">
        <f t="shared" si="19"/>
        <v>0</v>
      </c>
      <c r="AA97" s="44">
        <v>29637.5</v>
      </c>
      <c r="AB97" s="46"/>
    </row>
    <row r="98" spans="1:28" x14ac:dyDescent="0.3">
      <c r="A98" s="79">
        <v>45910</v>
      </c>
      <c r="B98" s="23">
        <v>45901</v>
      </c>
      <c r="C98" s="65" t="s">
        <v>29</v>
      </c>
      <c r="D98" s="39" t="s">
        <v>30</v>
      </c>
      <c r="E98" s="39"/>
      <c r="F98" s="27" t="s">
        <v>91</v>
      </c>
      <c r="G98" s="33" t="s">
        <v>152</v>
      </c>
      <c r="H98" s="27"/>
      <c r="I98" s="27"/>
      <c r="J98" s="27"/>
      <c r="K98" s="76"/>
      <c r="L98" s="27"/>
      <c r="M98" s="27"/>
      <c r="N98" s="27"/>
      <c r="O98" s="27"/>
      <c r="P98" s="27">
        <f t="shared" si="17"/>
        <v>0</v>
      </c>
      <c r="Q98" s="76"/>
      <c r="R98" s="76"/>
      <c r="S98" s="27"/>
      <c r="T98" s="27"/>
      <c r="U98" s="27"/>
      <c r="V98" s="27"/>
      <c r="W98" s="27"/>
      <c r="X98" s="27"/>
      <c r="Y98" s="27">
        <f t="shared" si="18"/>
        <v>0</v>
      </c>
      <c r="Z98" s="77">
        <f t="shared" si="19"/>
        <v>0</v>
      </c>
      <c r="AA98" s="44">
        <v>17750</v>
      </c>
      <c r="AB98" s="46"/>
    </row>
    <row r="99" spans="1:28" x14ac:dyDescent="0.3">
      <c r="A99" s="79">
        <v>45912</v>
      </c>
      <c r="B99" s="23">
        <v>45901</v>
      </c>
      <c r="C99" s="65" t="s">
        <v>29</v>
      </c>
      <c r="D99" s="39" t="s">
        <v>67</v>
      </c>
      <c r="E99" s="39"/>
      <c r="F99" s="27" t="s">
        <v>125</v>
      </c>
      <c r="G99" s="33" t="s">
        <v>153</v>
      </c>
      <c r="H99" s="27"/>
      <c r="I99" s="27"/>
      <c r="J99" s="27"/>
      <c r="K99" s="76"/>
      <c r="L99" s="27"/>
      <c r="M99" s="27"/>
      <c r="N99" s="27"/>
      <c r="O99" s="27"/>
      <c r="P99" s="27">
        <f t="shared" si="17"/>
        <v>0</v>
      </c>
      <c r="Q99" s="76"/>
      <c r="R99" s="76"/>
      <c r="S99" s="27"/>
      <c r="T99" s="27"/>
      <c r="U99" s="27"/>
      <c r="V99" s="27"/>
      <c r="W99" s="27"/>
      <c r="X99" s="27"/>
      <c r="Y99" s="27">
        <f t="shared" si="18"/>
        <v>0</v>
      </c>
      <c r="Z99" s="77">
        <f t="shared" si="19"/>
        <v>0</v>
      </c>
      <c r="AA99" s="44">
        <f>56563.38+85</f>
        <v>56648.38</v>
      </c>
      <c r="AB99" s="46"/>
    </row>
    <row r="100" spans="1:28" x14ac:dyDescent="0.3">
      <c r="A100" s="79">
        <v>45912</v>
      </c>
      <c r="B100" s="23">
        <v>45901</v>
      </c>
      <c r="C100" s="65" t="s">
        <v>29</v>
      </c>
      <c r="D100" s="39" t="s">
        <v>67</v>
      </c>
      <c r="E100" s="39"/>
      <c r="F100" s="27" t="s">
        <v>86</v>
      </c>
      <c r="G100" s="33" t="s">
        <v>154</v>
      </c>
      <c r="H100" s="27"/>
      <c r="I100" s="27"/>
      <c r="J100" s="27"/>
      <c r="K100" s="76"/>
      <c r="L100" s="27"/>
      <c r="M100" s="27"/>
      <c r="N100" s="27"/>
      <c r="O100" s="27"/>
      <c r="P100" s="27">
        <f t="shared" si="17"/>
        <v>0</v>
      </c>
      <c r="Q100" s="76"/>
      <c r="R100" s="76"/>
      <c r="S100" s="27"/>
      <c r="T100" s="27"/>
      <c r="U100" s="27"/>
      <c r="V100" s="27"/>
      <c r="W100" s="27"/>
      <c r="X100" s="27"/>
      <c r="Y100" s="27">
        <f t="shared" si="18"/>
        <v>0</v>
      </c>
      <c r="Z100" s="77">
        <f t="shared" si="19"/>
        <v>0</v>
      </c>
      <c r="AA100" s="44">
        <f>14596.53+193.5+120</f>
        <v>14910.03</v>
      </c>
      <c r="AB100" s="46"/>
    </row>
    <row r="101" spans="1:28" x14ac:dyDescent="0.3">
      <c r="A101" s="79">
        <v>45912</v>
      </c>
      <c r="B101" s="23">
        <v>45901</v>
      </c>
      <c r="C101" s="65" t="s">
        <v>108</v>
      </c>
      <c r="D101" s="39" t="s">
        <v>108</v>
      </c>
      <c r="E101" s="39"/>
      <c r="F101" s="27" t="s">
        <v>155</v>
      </c>
      <c r="G101" s="33" t="s">
        <v>156</v>
      </c>
      <c r="H101" s="27"/>
      <c r="I101" s="27"/>
      <c r="J101" s="27"/>
      <c r="K101" s="76"/>
      <c r="L101" s="27"/>
      <c r="M101" s="27"/>
      <c r="N101" s="27"/>
      <c r="O101" s="27"/>
      <c r="P101" s="27">
        <f t="shared" si="17"/>
        <v>0</v>
      </c>
      <c r="Q101" s="76"/>
      <c r="R101" s="76"/>
      <c r="S101" s="27"/>
      <c r="T101" s="27"/>
      <c r="U101" s="27"/>
      <c r="V101" s="27"/>
      <c r="W101" s="27"/>
      <c r="X101" s="27"/>
      <c r="Y101" s="27">
        <f t="shared" si="18"/>
        <v>0</v>
      </c>
      <c r="Z101" s="77">
        <f t="shared" si="19"/>
        <v>0</v>
      </c>
      <c r="AA101" s="44"/>
      <c r="AB101" s="46"/>
    </row>
    <row r="102" spans="1:28" x14ac:dyDescent="0.3">
      <c r="A102" s="79">
        <v>45913</v>
      </c>
      <c r="B102" s="23">
        <v>45901</v>
      </c>
      <c r="C102" s="65" t="s">
        <v>29</v>
      </c>
      <c r="D102" s="39" t="s">
        <v>67</v>
      </c>
      <c r="E102" s="39"/>
      <c r="F102" s="27" t="s">
        <v>139</v>
      </c>
      <c r="G102" s="33" t="s">
        <v>157</v>
      </c>
      <c r="H102" s="27"/>
      <c r="I102" s="27"/>
      <c r="J102" s="27"/>
      <c r="K102" s="76"/>
      <c r="L102" s="27"/>
      <c r="M102" s="27"/>
      <c r="N102" s="27"/>
      <c r="O102" s="27"/>
      <c r="P102" s="27">
        <f t="shared" si="17"/>
        <v>0</v>
      </c>
      <c r="Q102" s="76"/>
      <c r="R102" s="76"/>
      <c r="S102" s="27"/>
      <c r="T102" s="27"/>
      <c r="U102" s="27"/>
      <c r="V102" s="27"/>
      <c r="W102" s="27"/>
      <c r="X102" s="27"/>
      <c r="Y102" s="27">
        <f t="shared" si="18"/>
        <v>0</v>
      </c>
      <c r="Z102" s="77">
        <f t="shared" si="19"/>
        <v>0</v>
      </c>
      <c r="AA102" s="44">
        <v>18613.28</v>
      </c>
      <c r="AB102" s="46"/>
    </row>
    <row r="103" spans="1:28" x14ac:dyDescent="0.3">
      <c r="A103" s="79">
        <v>45913</v>
      </c>
      <c r="B103" s="23">
        <v>45901</v>
      </c>
      <c r="C103" s="65" t="s">
        <v>29</v>
      </c>
      <c r="D103" s="39" t="s">
        <v>30</v>
      </c>
      <c r="E103" s="39"/>
      <c r="F103" s="27" t="s">
        <v>158</v>
      </c>
      <c r="G103" s="33" t="s">
        <v>159</v>
      </c>
      <c r="H103" s="27"/>
      <c r="I103" s="27"/>
      <c r="J103" s="27"/>
      <c r="K103" s="76"/>
      <c r="L103" s="27"/>
      <c r="M103" s="27"/>
      <c r="N103" s="27"/>
      <c r="O103" s="27"/>
      <c r="P103" s="27">
        <f t="shared" si="17"/>
        <v>0</v>
      </c>
      <c r="Q103" s="76"/>
      <c r="R103" s="76"/>
      <c r="S103" s="27"/>
      <c r="T103" s="27"/>
      <c r="U103" s="27"/>
      <c r="V103" s="27"/>
      <c r="W103" s="27"/>
      <c r="X103" s="27"/>
      <c r="Y103" s="27">
        <f t="shared" si="18"/>
        <v>0</v>
      </c>
      <c r="Z103" s="77">
        <f t="shared" si="19"/>
        <v>0</v>
      </c>
      <c r="AA103" s="44">
        <f>20764+70</f>
        <v>20834</v>
      </c>
      <c r="AB103" s="46"/>
    </row>
    <row r="104" spans="1:28" x14ac:dyDescent="0.3">
      <c r="A104" s="79">
        <v>45913</v>
      </c>
      <c r="B104" s="23">
        <v>45901</v>
      </c>
      <c r="C104" s="65" t="s">
        <v>34</v>
      </c>
      <c r="D104" s="39" t="s">
        <v>30</v>
      </c>
      <c r="E104" s="39"/>
      <c r="F104" s="27" t="s">
        <v>160</v>
      </c>
      <c r="G104" s="33" t="s">
        <v>161</v>
      </c>
      <c r="H104" s="27"/>
      <c r="I104" s="27"/>
      <c r="J104" s="27"/>
      <c r="K104" s="76"/>
      <c r="L104" s="27"/>
      <c r="M104" s="27"/>
      <c r="N104" s="27"/>
      <c r="O104" s="27"/>
      <c r="P104" s="27">
        <f t="shared" si="17"/>
        <v>0</v>
      </c>
      <c r="Q104" s="76"/>
      <c r="R104" s="76"/>
      <c r="S104" s="27"/>
      <c r="T104" s="27"/>
      <c r="U104" s="27"/>
      <c r="V104" s="27"/>
      <c r="W104" s="27"/>
      <c r="X104" s="27"/>
      <c r="Y104" s="27">
        <f t="shared" si="18"/>
        <v>0</v>
      </c>
      <c r="Z104" s="77">
        <f t="shared" si="19"/>
        <v>0</v>
      </c>
      <c r="AA104" s="44"/>
      <c r="AB104" s="46"/>
    </row>
    <row r="105" spans="1:28" x14ac:dyDescent="0.3">
      <c r="A105" s="79">
        <v>45913</v>
      </c>
      <c r="B105" s="23">
        <v>45901</v>
      </c>
      <c r="C105" s="65" t="s">
        <v>29</v>
      </c>
      <c r="D105" s="39" t="s">
        <v>67</v>
      </c>
      <c r="E105" s="39"/>
      <c r="F105" s="27" t="s">
        <v>125</v>
      </c>
      <c r="G105" s="33" t="s">
        <v>162</v>
      </c>
      <c r="H105" s="27"/>
      <c r="I105" s="27"/>
      <c r="J105" s="27"/>
      <c r="K105" s="76"/>
      <c r="L105" s="27"/>
      <c r="M105" s="27"/>
      <c r="N105" s="27"/>
      <c r="O105" s="27"/>
      <c r="P105" s="27">
        <f t="shared" si="17"/>
        <v>0</v>
      </c>
      <c r="Q105" s="76"/>
      <c r="R105" s="76"/>
      <c r="S105" s="27"/>
      <c r="T105" s="27"/>
      <c r="U105" s="27"/>
      <c r="V105" s="27"/>
      <c r="W105" s="27"/>
      <c r="X105" s="27"/>
      <c r="Y105" s="27">
        <f t="shared" si="18"/>
        <v>0</v>
      </c>
      <c r="Z105" s="77">
        <f t="shared" si="19"/>
        <v>0</v>
      </c>
      <c r="AA105" s="44">
        <v>25943.88</v>
      </c>
      <c r="AB105" s="46"/>
    </row>
    <row r="106" spans="1:28" x14ac:dyDescent="0.3">
      <c r="A106" s="79">
        <v>45913</v>
      </c>
      <c r="B106" s="23">
        <v>45901</v>
      </c>
      <c r="C106" s="65" t="s">
        <v>29</v>
      </c>
      <c r="D106" s="39" t="s">
        <v>67</v>
      </c>
      <c r="E106" s="39"/>
      <c r="F106" s="27" t="s">
        <v>76</v>
      </c>
      <c r="G106" s="33" t="s">
        <v>163</v>
      </c>
      <c r="H106" s="27"/>
      <c r="I106" s="27"/>
      <c r="J106" s="27"/>
      <c r="K106" s="76"/>
      <c r="L106" s="27"/>
      <c r="M106" s="27"/>
      <c r="N106" s="27"/>
      <c r="O106" s="27"/>
      <c r="P106" s="27">
        <f t="shared" si="17"/>
        <v>0</v>
      </c>
      <c r="Q106" s="76"/>
      <c r="R106" s="76"/>
      <c r="S106" s="27"/>
      <c r="T106" s="27"/>
      <c r="U106" s="27"/>
      <c r="V106" s="27"/>
      <c r="W106" s="27"/>
      <c r="X106" s="27"/>
      <c r="Y106" s="27">
        <f t="shared" si="18"/>
        <v>0</v>
      </c>
      <c r="Z106" s="77">
        <f t="shared" si="19"/>
        <v>0</v>
      </c>
      <c r="AA106" s="44">
        <v>15728.98</v>
      </c>
      <c r="AB106" s="46"/>
    </row>
    <row r="107" spans="1:28" x14ac:dyDescent="0.3">
      <c r="A107" s="79">
        <v>45913</v>
      </c>
      <c r="B107" s="23">
        <v>45901</v>
      </c>
      <c r="C107" s="65" t="s">
        <v>29</v>
      </c>
      <c r="D107" s="39" t="s">
        <v>30</v>
      </c>
      <c r="E107" s="39"/>
      <c r="F107" s="27" t="s">
        <v>164</v>
      </c>
      <c r="G107" s="33" t="s">
        <v>165</v>
      </c>
      <c r="H107" s="27"/>
      <c r="I107" s="27"/>
      <c r="J107" s="27"/>
      <c r="K107" s="76"/>
      <c r="L107" s="27"/>
      <c r="M107" s="27"/>
      <c r="N107" s="27"/>
      <c r="O107" s="27"/>
      <c r="P107" s="27">
        <f t="shared" si="17"/>
        <v>0</v>
      </c>
      <c r="Q107" s="76"/>
      <c r="R107" s="76"/>
      <c r="S107" s="27"/>
      <c r="T107" s="27"/>
      <c r="U107" s="27"/>
      <c r="V107" s="27"/>
      <c r="W107" s="27"/>
      <c r="X107" s="27"/>
      <c r="Y107" s="27">
        <f t="shared" si="18"/>
        <v>0</v>
      </c>
      <c r="Z107" s="77">
        <f t="shared" si="19"/>
        <v>0</v>
      </c>
      <c r="AA107" s="44">
        <v>11116.5</v>
      </c>
      <c r="AB107" s="46"/>
    </row>
    <row r="108" spans="1:28" x14ac:dyDescent="0.3">
      <c r="A108" s="79">
        <v>45913</v>
      </c>
      <c r="B108" s="23">
        <v>45901</v>
      </c>
      <c r="C108" s="65" t="s">
        <v>29</v>
      </c>
      <c r="D108" s="39" t="s">
        <v>30</v>
      </c>
      <c r="E108" s="39"/>
      <c r="F108" s="27" t="s">
        <v>136</v>
      </c>
      <c r="G108" s="33" t="s">
        <v>166</v>
      </c>
      <c r="H108" s="27"/>
      <c r="I108" s="27"/>
      <c r="J108" s="27"/>
      <c r="K108" s="76"/>
      <c r="L108" s="27"/>
      <c r="M108" s="27"/>
      <c r="N108" s="27"/>
      <c r="O108" s="27"/>
      <c r="P108" s="27">
        <f t="shared" si="17"/>
        <v>0</v>
      </c>
      <c r="Q108" s="76"/>
      <c r="R108" s="76"/>
      <c r="S108" s="27"/>
      <c r="T108" s="27"/>
      <c r="U108" s="27"/>
      <c r="V108" s="27"/>
      <c r="W108" s="27"/>
      <c r="X108" s="27"/>
      <c r="Y108" s="27">
        <f t="shared" si="18"/>
        <v>0</v>
      </c>
      <c r="Z108" s="77">
        <f t="shared" si="19"/>
        <v>0</v>
      </c>
      <c r="AA108" s="44">
        <f>21927.9+181.6</f>
        <v>22109.5</v>
      </c>
      <c r="AB108" s="46"/>
    </row>
    <row r="109" spans="1:28" x14ac:dyDescent="0.3">
      <c r="A109" s="80">
        <v>45913</v>
      </c>
      <c r="B109" s="23">
        <v>45901</v>
      </c>
      <c r="C109" s="73" t="s">
        <v>29</v>
      </c>
      <c r="D109" s="41" t="s">
        <v>67</v>
      </c>
      <c r="E109" s="41"/>
      <c r="F109" s="53" t="s">
        <v>86</v>
      </c>
      <c r="G109" s="42" t="s">
        <v>167</v>
      </c>
      <c r="H109" s="53"/>
      <c r="I109" s="53"/>
      <c r="J109" s="53"/>
      <c r="K109" s="76"/>
      <c r="L109" s="53"/>
      <c r="M109" s="53"/>
      <c r="N109" s="53"/>
      <c r="O109" s="53"/>
      <c r="P109" s="53">
        <f t="shared" si="17"/>
        <v>0</v>
      </c>
      <c r="Q109" s="76"/>
      <c r="R109" s="76"/>
      <c r="S109" s="53"/>
      <c r="T109" s="53"/>
      <c r="U109" s="53"/>
      <c r="V109" s="53"/>
      <c r="W109" s="53"/>
      <c r="X109" s="53"/>
      <c r="Y109" s="53">
        <f t="shared" si="18"/>
        <v>0</v>
      </c>
      <c r="Z109" s="78">
        <f t="shared" si="19"/>
        <v>0</v>
      </c>
      <c r="AA109" s="74">
        <v>21388.63</v>
      </c>
      <c r="AB109" s="75"/>
    </row>
    <row r="110" spans="1:28" x14ac:dyDescent="0.3">
      <c r="A110" s="79">
        <v>45915</v>
      </c>
      <c r="B110" s="23">
        <v>45901</v>
      </c>
      <c r="C110" s="65" t="s">
        <v>34</v>
      </c>
      <c r="D110" s="39" t="s">
        <v>30</v>
      </c>
      <c r="E110" s="39"/>
      <c r="F110" s="27" t="s">
        <v>168</v>
      </c>
      <c r="G110" s="33" t="s">
        <v>169</v>
      </c>
      <c r="H110" s="27"/>
      <c r="I110" s="27"/>
      <c r="J110" s="27"/>
      <c r="K110" s="76"/>
      <c r="L110" s="27"/>
      <c r="M110" s="27"/>
      <c r="N110" s="27"/>
      <c r="O110" s="27"/>
      <c r="P110" s="27">
        <f t="shared" ref="P110:P141" si="20">(L110*M110)+(N110*O110)</f>
        <v>0</v>
      </c>
      <c r="Q110" s="76"/>
      <c r="R110" s="76"/>
      <c r="S110" s="27"/>
      <c r="T110" s="27"/>
      <c r="U110" s="27"/>
      <c r="V110" s="27"/>
      <c r="W110" s="27"/>
      <c r="X110" s="27"/>
      <c r="Y110" s="27">
        <f t="shared" ref="Y110:Y141" si="21">(S110*T110)+(W110*X110)+(U110*V110)</f>
        <v>0</v>
      </c>
      <c r="Z110" s="77">
        <f t="shared" ref="Z110:Z141" si="22">((P110*$AF$7)+(Y110*$AF$8/100)*$AG$7)</f>
        <v>0</v>
      </c>
      <c r="AA110" s="44">
        <v>12535</v>
      </c>
      <c r="AB110" s="46"/>
    </row>
    <row r="111" spans="1:28" x14ac:dyDescent="0.3">
      <c r="A111" s="79">
        <v>45915</v>
      </c>
      <c r="B111" s="23">
        <v>45901</v>
      </c>
      <c r="C111" s="65" t="s">
        <v>34</v>
      </c>
      <c r="D111" s="39" t="s">
        <v>67</v>
      </c>
      <c r="E111" s="39"/>
      <c r="F111" s="27" t="s">
        <v>111</v>
      </c>
      <c r="G111" s="33" t="s">
        <v>170</v>
      </c>
      <c r="H111" s="27"/>
      <c r="I111" s="27"/>
      <c r="J111" s="27"/>
      <c r="K111" s="76"/>
      <c r="L111" s="27"/>
      <c r="M111" s="27"/>
      <c r="N111" s="27"/>
      <c r="O111" s="27"/>
      <c r="P111" s="27">
        <f t="shared" si="20"/>
        <v>0</v>
      </c>
      <c r="Q111" s="76"/>
      <c r="R111" s="76"/>
      <c r="S111" s="27"/>
      <c r="T111" s="27"/>
      <c r="U111" s="27"/>
      <c r="V111" s="27"/>
      <c r="W111" s="27"/>
      <c r="X111" s="27"/>
      <c r="Y111" s="27">
        <f t="shared" si="21"/>
        <v>0</v>
      </c>
      <c r="Z111" s="77">
        <f t="shared" si="22"/>
        <v>0</v>
      </c>
      <c r="AA111" s="44"/>
      <c r="AB111" s="46"/>
    </row>
    <row r="112" spans="1:28" x14ac:dyDescent="0.3">
      <c r="A112" s="79">
        <v>45916</v>
      </c>
      <c r="B112" s="23">
        <v>45901</v>
      </c>
      <c r="C112" s="65" t="s">
        <v>34</v>
      </c>
      <c r="D112" s="39" t="s">
        <v>30</v>
      </c>
      <c r="E112" s="39"/>
      <c r="F112" s="27" t="s">
        <v>171</v>
      </c>
      <c r="G112" s="33" t="s">
        <v>172</v>
      </c>
      <c r="H112" s="27"/>
      <c r="I112" s="27"/>
      <c r="J112" s="27"/>
      <c r="K112" s="76"/>
      <c r="L112" s="27"/>
      <c r="M112" s="27"/>
      <c r="N112" s="27"/>
      <c r="O112" s="27"/>
      <c r="P112" s="27">
        <f t="shared" si="20"/>
        <v>0</v>
      </c>
      <c r="Q112" s="76"/>
      <c r="R112" s="76"/>
      <c r="S112" s="27"/>
      <c r="T112" s="27"/>
      <c r="U112" s="27"/>
      <c r="V112" s="27"/>
      <c r="W112" s="27"/>
      <c r="X112" s="27"/>
      <c r="Y112" s="27">
        <f t="shared" si="21"/>
        <v>0</v>
      </c>
      <c r="Z112" s="77">
        <f t="shared" si="22"/>
        <v>0</v>
      </c>
      <c r="AA112" s="44">
        <v>8330</v>
      </c>
      <c r="AB112" s="46"/>
    </row>
    <row r="113" spans="1:28" x14ac:dyDescent="0.3">
      <c r="A113" s="79">
        <v>45916</v>
      </c>
      <c r="B113" s="23">
        <v>45901</v>
      </c>
      <c r="C113" s="65" t="s">
        <v>34</v>
      </c>
      <c r="D113" s="39" t="s">
        <v>30</v>
      </c>
      <c r="E113" s="39"/>
      <c r="F113" s="27" t="s">
        <v>173</v>
      </c>
      <c r="G113" s="33" t="s">
        <v>174</v>
      </c>
      <c r="H113" s="27"/>
      <c r="I113" s="27"/>
      <c r="J113" s="27"/>
      <c r="K113" s="76"/>
      <c r="L113" s="27"/>
      <c r="M113" s="27"/>
      <c r="N113" s="27"/>
      <c r="O113" s="27"/>
      <c r="P113" s="27">
        <f t="shared" si="20"/>
        <v>0</v>
      </c>
      <c r="Q113" s="76"/>
      <c r="R113" s="76"/>
      <c r="S113" s="27"/>
      <c r="T113" s="27"/>
      <c r="U113" s="27"/>
      <c r="V113" s="27"/>
      <c r="W113" s="27"/>
      <c r="X113" s="27"/>
      <c r="Y113" s="27">
        <f t="shared" si="21"/>
        <v>0</v>
      </c>
      <c r="Z113" s="77">
        <f t="shared" si="22"/>
        <v>0</v>
      </c>
      <c r="AA113" s="44"/>
      <c r="AB113" s="46"/>
    </row>
    <row r="114" spans="1:28" x14ac:dyDescent="0.3">
      <c r="A114" s="79">
        <v>45916</v>
      </c>
      <c r="B114" s="23">
        <v>45901</v>
      </c>
      <c r="C114" s="65" t="s">
        <v>34</v>
      </c>
      <c r="D114" s="39" t="s">
        <v>67</v>
      </c>
      <c r="E114" s="39"/>
      <c r="F114" s="27" t="s">
        <v>86</v>
      </c>
      <c r="G114" s="33" t="s">
        <v>175</v>
      </c>
      <c r="H114" s="27"/>
      <c r="I114" s="27"/>
      <c r="J114" s="27"/>
      <c r="K114" s="76"/>
      <c r="L114" s="27"/>
      <c r="M114" s="27"/>
      <c r="N114" s="27"/>
      <c r="O114" s="27"/>
      <c r="P114" s="27">
        <f t="shared" si="20"/>
        <v>0</v>
      </c>
      <c r="Q114" s="76"/>
      <c r="R114" s="76"/>
      <c r="S114" s="27"/>
      <c r="T114" s="27"/>
      <c r="U114" s="27"/>
      <c r="V114" s="27"/>
      <c r="W114" s="27"/>
      <c r="X114" s="27"/>
      <c r="Y114" s="27">
        <f t="shared" si="21"/>
        <v>0</v>
      </c>
      <c r="Z114" s="77">
        <f t="shared" si="22"/>
        <v>0</v>
      </c>
      <c r="AA114" s="44">
        <v>6361.9</v>
      </c>
      <c r="AB114" s="46"/>
    </row>
    <row r="115" spans="1:28" x14ac:dyDescent="0.3">
      <c r="A115" s="79">
        <v>45916</v>
      </c>
      <c r="B115" s="23">
        <v>45901</v>
      </c>
      <c r="C115" s="65" t="s">
        <v>34</v>
      </c>
      <c r="D115" s="39" t="s">
        <v>30</v>
      </c>
      <c r="E115" s="39"/>
      <c r="F115" s="27" t="s">
        <v>97</v>
      </c>
      <c r="G115" s="33" t="s">
        <v>176</v>
      </c>
      <c r="H115" s="27"/>
      <c r="I115" s="27"/>
      <c r="J115" s="27"/>
      <c r="K115" s="76"/>
      <c r="L115" s="27"/>
      <c r="M115" s="27"/>
      <c r="N115" s="27"/>
      <c r="O115" s="27"/>
      <c r="P115" s="27">
        <f t="shared" si="20"/>
        <v>0</v>
      </c>
      <c r="Q115" s="76"/>
      <c r="R115" s="76"/>
      <c r="S115" s="27"/>
      <c r="T115" s="27"/>
      <c r="U115" s="27"/>
      <c r="V115" s="27"/>
      <c r="W115" s="27"/>
      <c r="X115" s="27"/>
      <c r="Y115" s="27">
        <f t="shared" si="21"/>
        <v>0</v>
      </c>
      <c r="Z115" s="77">
        <f t="shared" si="22"/>
        <v>0</v>
      </c>
      <c r="AA115" s="44"/>
      <c r="AB115" s="46"/>
    </row>
    <row r="116" spans="1:28" x14ac:dyDescent="0.3">
      <c r="A116" s="79">
        <v>45916</v>
      </c>
      <c r="B116" s="23">
        <v>45901</v>
      </c>
      <c r="C116" s="65" t="s">
        <v>34</v>
      </c>
      <c r="D116" s="39" t="s">
        <v>30</v>
      </c>
      <c r="E116" s="39"/>
      <c r="F116" s="27" t="s">
        <v>121</v>
      </c>
      <c r="G116" s="33" t="s">
        <v>177</v>
      </c>
      <c r="H116" s="27"/>
      <c r="I116" s="27"/>
      <c r="J116" s="27"/>
      <c r="K116" s="76"/>
      <c r="L116" s="27"/>
      <c r="M116" s="27"/>
      <c r="N116" s="27"/>
      <c r="O116" s="27"/>
      <c r="P116" s="27">
        <f t="shared" si="20"/>
        <v>0</v>
      </c>
      <c r="Q116" s="76"/>
      <c r="R116" s="76"/>
      <c r="S116" s="27"/>
      <c r="T116" s="27"/>
      <c r="U116" s="27"/>
      <c r="V116" s="27"/>
      <c r="W116" s="27"/>
      <c r="X116" s="27"/>
      <c r="Y116" s="27">
        <f t="shared" si="21"/>
        <v>0</v>
      </c>
      <c r="Z116" s="77">
        <f t="shared" si="22"/>
        <v>0</v>
      </c>
      <c r="AA116" s="44">
        <v>36600</v>
      </c>
      <c r="AB116" s="46"/>
    </row>
    <row r="117" spans="1:28" x14ac:dyDescent="0.3">
      <c r="A117" s="79">
        <v>45916</v>
      </c>
      <c r="B117" s="23">
        <v>45901</v>
      </c>
      <c r="C117" s="65" t="s">
        <v>34</v>
      </c>
      <c r="D117" s="39" t="s">
        <v>30</v>
      </c>
      <c r="E117" s="39"/>
      <c r="F117" s="27" t="s">
        <v>178</v>
      </c>
      <c r="G117" s="33" t="s">
        <v>179</v>
      </c>
      <c r="H117" s="27"/>
      <c r="I117" s="27"/>
      <c r="J117" s="27"/>
      <c r="K117" s="76"/>
      <c r="L117" s="27"/>
      <c r="M117" s="27"/>
      <c r="N117" s="27"/>
      <c r="O117" s="27"/>
      <c r="P117" s="27">
        <f t="shared" si="20"/>
        <v>0</v>
      </c>
      <c r="Q117" s="76"/>
      <c r="R117" s="76"/>
      <c r="S117" s="27"/>
      <c r="T117" s="27"/>
      <c r="U117" s="27"/>
      <c r="V117" s="27"/>
      <c r="W117" s="27"/>
      <c r="X117" s="27"/>
      <c r="Y117" s="27">
        <f t="shared" si="21"/>
        <v>0</v>
      </c>
      <c r="Z117" s="77">
        <f t="shared" si="22"/>
        <v>0</v>
      </c>
      <c r="AA117" s="44">
        <v>9410</v>
      </c>
      <c r="AB117" s="46"/>
    </row>
    <row r="118" spans="1:28" x14ac:dyDescent="0.3">
      <c r="A118" s="79">
        <v>45916</v>
      </c>
      <c r="B118" s="23">
        <v>45901</v>
      </c>
      <c r="C118" s="65" t="s">
        <v>34</v>
      </c>
      <c r="D118" s="39" t="s">
        <v>30</v>
      </c>
      <c r="E118" s="39"/>
      <c r="F118" s="27" t="s">
        <v>180</v>
      </c>
      <c r="G118" s="33" t="s">
        <v>181</v>
      </c>
      <c r="H118" s="27"/>
      <c r="I118" s="27"/>
      <c r="J118" s="27"/>
      <c r="K118" s="76"/>
      <c r="L118" s="27"/>
      <c r="M118" s="27"/>
      <c r="N118" s="27"/>
      <c r="O118" s="27"/>
      <c r="P118" s="27">
        <f t="shared" si="20"/>
        <v>0</v>
      </c>
      <c r="Q118" s="76"/>
      <c r="R118" s="76"/>
      <c r="S118" s="27"/>
      <c r="T118" s="27"/>
      <c r="U118" s="27"/>
      <c r="V118" s="27"/>
      <c r="W118" s="27"/>
      <c r="X118" s="27"/>
      <c r="Y118" s="27">
        <f t="shared" si="21"/>
        <v>0</v>
      </c>
      <c r="Z118" s="77">
        <f t="shared" si="22"/>
        <v>0</v>
      </c>
      <c r="AA118" s="44">
        <v>15225</v>
      </c>
      <c r="AB118" s="46"/>
    </row>
    <row r="119" spans="1:28" x14ac:dyDescent="0.3">
      <c r="A119" s="79">
        <v>45916</v>
      </c>
      <c r="B119" s="23">
        <v>45901</v>
      </c>
      <c r="C119" s="65" t="s">
        <v>34</v>
      </c>
      <c r="D119" s="39" t="s">
        <v>30</v>
      </c>
      <c r="E119" s="39"/>
      <c r="F119" s="27" t="s">
        <v>171</v>
      </c>
      <c r="G119" s="33" t="s">
        <v>182</v>
      </c>
      <c r="H119" s="27"/>
      <c r="I119" s="27"/>
      <c r="J119" s="27"/>
      <c r="K119" s="76"/>
      <c r="L119" s="27"/>
      <c r="M119" s="27"/>
      <c r="N119" s="27"/>
      <c r="O119" s="27"/>
      <c r="P119" s="27">
        <f t="shared" si="20"/>
        <v>0</v>
      </c>
      <c r="Q119" s="76"/>
      <c r="R119" s="76"/>
      <c r="S119" s="27"/>
      <c r="T119" s="27"/>
      <c r="U119" s="27"/>
      <c r="V119" s="27"/>
      <c r="W119" s="27"/>
      <c r="X119" s="27"/>
      <c r="Y119" s="27">
        <f t="shared" si="21"/>
        <v>0</v>
      </c>
      <c r="Z119" s="77">
        <f t="shared" si="22"/>
        <v>0</v>
      </c>
      <c r="AA119" s="44">
        <v>44370</v>
      </c>
      <c r="AB119" s="46"/>
    </row>
    <row r="120" spans="1:28" x14ac:dyDescent="0.3">
      <c r="A120" s="79">
        <v>45917</v>
      </c>
      <c r="B120" s="23">
        <v>45901</v>
      </c>
      <c r="C120" s="65" t="s">
        <v>34</v>
      </c>
      <c r="D120" s="39" t="s">
        <v>30</v>
      </c>
      <c r="E120" s="39"/>
      <c r="F120" s="27" t="s">
        <v>183</v>
      </c>
      <c r="G120" s="33" t="s">
        <v>184</v>
      </c>
      <c r="H120" s="27"/>
      <c r="I120" s="27"/>
      <c r="J120" s="27"/>
      <c r="K120" s="76"/>
      <c r="L120" s="27"/>
      <c r="M120" s="27"/>
      <c r="N120" s="27"/>
      <c r="O120" s="27"/>
      <c r="P120" s="27">
        <f t="shared" si="20"/>
        <v>0</v>
      </c>
      <c r="Q120" s="76"/>
      <c r="R120" s="76"/>
      <c r="S120" s="27"/>
      <c r="T120" s="27"/>
      <c r="U120" s="27"/>
      <c r="V120" s="27"/>
      <c r="W120" s="27"/>
      <c r="X120" s="27"/>
      <c r="Y120" s="27">
        <f t="shared" si="21"/>
        <v>0</v>
      </c>
      <c r="Z120" s="77">
        <f t="shared" si="22"/>
        <v>0</v>
      </c>
      <c r="AA120" s="44">
        <v>3000</v>
      </c>
      <c r="AB120" s="46"/>
    </row>
    <row r="121" spans="1:28" x14ac:dyDescent="0.3">
      <c r="A121" s="79">
        <v>45917</v>
      </c>
      <c r="B121" s="23">
        <v>45901</v>
      </c>
      <c r="C121" s="65" t="s">
        <v>34</v>
      </c>
      <c r="D121" s="39" t="s">
        <v>30</v>
      </c>
      <c r="E121" s="39"/>
      <c r="F121" s="27" t="s">
        <v>185</v>
      </c>
      <c r="G121" s="33" t="s">
        <v>186</v>
      </c>
      <c r="H121" s="27"/>
      <c r="I121" s="27"/>
      <c r="J121" s="27"/>
      <c r="K121" s="76"/>
      <c r="L121" s="27"/>
      <c r="M121" s="27"/>
      <c r="N121" s="27"/>
      <c r="O121" s="27"/>
      <c r="P121" s="27">
        <f t="shared" si="20"/>
        <v>0</v>
      </c>
      <c r="Q121" s="76"/>
      <c r="R121" s="76"/>
      <c r="S121" s="27"/>
      <c r="T121" s="27"/>
      <c r="U121" s="27"/>
      <c r="V121" s="27"/>
      <c r="W121" s="27"/>
      <c r="X121" s="27"/>
      <c r="Y121" s="27">
        <f t="shared" si="21"/>
        <v>0</v>
      </c>
      <c r="Z121" s="77">
        <f t="shared" si="22"/>
        <v>0</v>
      </c>
      <c r="AA121" s="44">
        <v>8411.4</v>
      </c>
      <c r="AB121" s="46"/>
    </row>
    <row r="122" spans="1:28" x14ac:dyDescent="0.3">
      <c r="A122" s="79">
        <v>45917</v>
      </c>
      <c r="B122" s="23">
        <v>45901</v>
      </c>
      <c r="C122" s="65" t="s">
        <v>34</v>
      </c>
      <c r="D122" s="39" t="s">
        <v>30</v>
      </c>
      <c r="E122" s="39"/>
      <c r="F122" s="27" t="s">
        <v>36</v>
      </c>
      <c r="G122" s="33" t="s">
        <v>187</v>
      </c>
      <c r="H122" s="27"/>
      <c r="I122" s="27"/>
      <c r="J122" s="27"/>
      <c r="K122" s="76"/>
      <c r="L122" s="27"/>
      <c r="M122" s="27"/>
      <c r="N122" s="27"/>
      <c r="O122" s="27"/>
      <c r="P122" s="27">
        <f t="shared" si="20"/>
        <v>0</v>
      </c>
      <c r="Q122" s="76"/>
      <c r="R122" s="76"/>
      <c r="S122" s="27"/>
      <c r="T122" s="27"/>
      <c r="U122" s="27"/>
      <c r="V122" s="27"/>
      <c r="W122" s="27"/>
      <c r="X122" s="27"/>
      <c r="Y122" s="27">
        <f t="shared" si="21"/>
        <v>0</v>
      </c>
      <c r="Z122" s="77">
        <f t="shared" si="22"/>
        <v>0</v>
      </c>
      <c r="AA122" s="44">
        <v>5680</v>
      </c>
      <c r="AB122" s="46"/>
    </row>
    <row r="123" spans="1:28" x14ac:dyDescent="0.3">
      <c r="A123" s="79">
        <v>45917</v>
      </c>
      <c r="B123" s="23">
        <v>45901</v>
      </c>
      <c r="C123" s="65" t="s">
        <v>108</v>
      </c>
      <c r="D123" s="39" t="s">
        <v>108</v>
      </c>
      <c r="E123" s="39"/>
      <c r="F123" s="27" t="s">
        <v>155</v>
      </c>
      <c r="G123" s="33" t="s">
        <v>188</v>
      </c>
      <c r="H123" s="27"/>
      <c r="I123" s="27"/>
      <c r="J123" s="27"/>
      <c r="K123" s="76"/>
      <c r="L123" s="27"/>
      <c r="M123" s="27"/>
      <c r="N123" s="27"/>
      <c r="O123" s="27"/>
      <c r="P123" s="27">
        <f t="shared" si="20"/>
        <v>0</v>
      </c>
      <c r="Q123" s="76"/>
      <c r="R123" s="76"/>
      <c r="S123" s="27"/>
      <c r="T123" s="27"/>
      <c r="U123" s="27"/>
      <c r="V123" s="27"/>
      <c r="W123" s="27"/>
      <c r="X123" s="27"/>
      <c r="Y123" s="27">
        <f t="shared" si="21"/>
        <v>0</v>
      </c>
      <c r="Z123" s="77">
        <f t="shared" si="22"/>
        <v>0</v>
      </c>
      <c r="AA123" s="44"/>
      <c r="AB123" s="46"/>
    </row>
    <row r="124" spans="1:28" x14ac:dyDescent="0.3">
      <c r="A124" s="79">
        <v>45918</v>
      </c>
      <c r="B124" s="23">
        <v>45901</v>
      </c>
      <c r="C124" s="65" t="s">
        <v>34</v>
      </c>
      <c r="D124" s="39" t="s">
        <v>30</v>
      </c>
      <c r="E124" s="39"/>
      <c r="F124" s="27" t="s">
        <v>189</v>
      </c>
      <c r="G124" s="33" t="s">
        <v>190</v>
      </c>
      <c r="H124" s="27"/>
      <c r="I124" s="27"/>
      <c r="J124" s="27"/>
      <c r="K124" s="76"/>
      <c r="L124" s="27"/>
      <c r="M124" s="27"/>
      <c r="N124" s="27"/>
      <c r="O124" s="27"/>
      <c r="P124" s="27">
        <f t="shared" si="20"/>
        <v>0</v>
      </c>
      <c r="Q124" s="76"/>
      <c r="R124" s="76"/>
      <c r="S124" s="27"/>
      <c r="T124" s="27"/>
      <c r="U124" s="27"/>
      <c r="V124" s="27"/>
      <c r="W124" s="27"/>
      <c r="X124" s="27"/>
      <c r="Y124" s="27">
        <f t="shared" si="21"/>
        <v>0</v>
      </c>
      <c r="Z124" s="77">
        <f t="shared" si="22"/>
        <v>0</v>
      </c>
      <c r="AA124" s="44"/>
      <c r="AB124" s="46"/>
    </row>
    <row r="125" spans="1:28" x14ac:dyDescent="0.3">
      <c r="A125" s="79">
        <v>45918</v>
      </c>
      <c r="B125" s="23">
        <v>45901</v>
      </c>
      <c r="C125" s="65" t="s">
        <v>34</v>
      </c>
      <c r="D125" s="39" t="s">
        <v>30</v>
      </c>
      <c r="E125" s="39"/>
      <c r="F125" s="27" t="s">
        <v>191</v>
      </c>
      <c r="G125" s="33" t="s">
        <v>192</v>
      </c>
      <c r="H125" s="27"/>
      <c r="I125" s="27"/>
      <c r="J125" s="27"/>
      <c r="K125" s="76"/>
      <c r="L125" s="27"/>
      <c r="M125" s="27"/>
      <c r="N125" s="27"/>
      <c r="O125" s="27"/>
      <c r="P125" s="27">
        <f t="shared" si="20"/>
        <v>0</v>
      </c>
      <c r="Q125" s="76"/>
      <c r="R125" s="76"/>
      <c r="S125" s="27"/>
      <c r="T125" s="27"/>
      <c r="U125" s="27"/>
      <c r="V125" s="27"/>
      <c r="W125" s="27"/>
      <c r="X125" s="27"/>
      <c r="Y125" s="27">
        <f t="shared" si="21"/>
        <v>0</v>
      </c>
      <c r="Z125" s="77">
        <f t="shared" si="22"/>
        <v>0</v>
      </c>
      <c r="AA125" s="44"/>
      <c r="AB125" s="46"/>
    </row>
    <row r="126" spans="1:28" x14ac:dyDescent="0.3">
      <c r="A126" s="79">
        <v>45918</v>
      </c>
      <c r="B126" s="23">
        <v>45901</v>
      </c>
      <c r="C126" s="65" t="s">
        <v>34</v>
      </c>
      <c r="D126" s="39" t="s">
        <v>30</v>
      </c>
      <c r="E126" s="39"/>
      <c r="F126" s="27" t="s">
        <v>193</v>
      </c>
      <c r="G126" s="33" t="s">
        <v>194</v>
      </c>
      <c r="H126" s="27"/>
      <c r="I126" s="27"/>
      <c r="J126" s="27"/>
      <c r="K126" s="76"/>
      <c r="L126" s="27"/>
      <c r="M126" s="27"/>
      <c r="N126" s="27"/>
      <c r="O126" s="27"/>
      <c r="P126" s="27">
        <f t="shared" si="20"/>
        <v>0</v>
      </c>
      <c r="Q126" s="76"/>
      <c r="R126" s="76"/>
      <c r="S126" s="27"/>
      <c r="T126" s="27"/>
      <c r="U126" s="27"/>
      <c r="V126" s="27"/>
      <c r="W126" s="27"/>
      <c r="X126" s="27"/>
      <c r="Y126" s="27">
        <f t="shared" si="21"/>
        <v>0</v>
      </c>
      <c r="Z126" s="77">
        <f t="shared" si="22"/>
        <v>0</v>
      </c>
      <c r="AA126" s="44">
        <v>11634.5</v>
      </c>
      <c r="AB126" s="46"/>
    </row>
    <row r="127" spans="1:28" x14ac:dyDescent="0.3">
      <c r="A127" s="79">
        <v>45918</v>
      </c>
      <c r="B127" s="23">
        <v>45901</v>
      </c>
      <c r="C127" s="65" t="s">
        <v>34</v>
      </c>
      <c r="D127" s="39" t="s">
        <v>30</v>
      </c>
      <c r="E127" s="39"/>
      <c r="F127" s="27" t="s">
        <v>195</v>
      </c>
      <c r="G127" s="33" t="s">
        <v>196</v>
      </c>
      <c r="H127" s="27"/>
      <c r="I127" s="27"/>
      <c r="J127" s="27"/>
      <c r="K127" s="76"/>
      <c r="L127" s="27"/>
      <c r="M127" s="27"/>
      <c r="N127" s="27"/>
      <c r="O127" s="27"/>
      <c r="P127" s="27">
        <f t="shared" si="20"/>
        <v>0</v>
      </c>
      <c r="Q127" s="76"/>
      <c r="R127" s="76"/>
      <c r="S127" s="27"/>
      <c r="T127" s="27"/>
      <c r="U127" s="27"/>
      <c r="V127" s="27"/>
      <c r="W127" s="27"/>
      <c r="X127" s="27"/>
      <c r="Y127" s="27">
        <f t="shared" si="21"/>
        <v>0</v>
      </c>
      <c r="Z127" s="77">
        <f t="shared" si="22"/>
        <v>0</v>
      </c>
      <c r="AA127" s="44"/>
      <c r="AB127" s="46"/>
    </row>
    <row r="128" spans="1:28" x14ac:dyDescent="0.3">
      <c r="A128" s="79">
        <v>45918</v>
      </c>
      <c r="B128" s="23">
        <v>45901</v>
      </c>
      <c r="C128" s="65" t="s">
        <v>34</v>
      </c>
      <c r="D128" s="39" t="s">
        <v>30</v>
      </c>
      <c r="E128" s="39"/>
      <c r="F128" s="27" t="s">
        <v>197</v>
      </c>
      <c r="G128" s="33" t="s">
        <v>198</v>
      </c>
      <c r="H128" s="27"/>
      <c r="I128" s="27"/>
      <c r="J128" s="27"/>
      <c r="K128" s="76"/>
      <c r="L128" s="27"/>
      <c r="M128" s="27"/>
      <c r="N128" s="27"/>
      <c r="O128" s="27"/>
      <c r="P128" s="27">
        <f t="shared" si="20"/>
        <v>0</v>
      </c>
      <c r="Q128" s="76"/>
      <c r="R128" s="76"/>
      <c r="S128" s="27"/>
      <c r="T128" s="27"/>
      <c r="U128" s="27"/>
      <c r="V128" s="27"/>
      <c r="W128" s="27"/>
      <c r="X128" s="27"/>
      <c r="Y128" s="27">
        <f t="shared" si="21"/>
        <v>0</v>
      </c>
      <c r="Z128" s="77">
        <f t="shared" si="22"/>
        <v>0</v>
      </c>
      <c r="AA128" s="44"/>
      <c r="AB128" s="46"/>
    </row>
    <row r="129" spans="1:28" x14ac:dyDescent="0.3">
      <c r="A129" s="79">
        <v>45918</v>
      </c>
      <c r="B129" s="23">
        <v>45901</v>
      </c>
      <c r="C129" s="65" t="s">
        <v>34</v>
      </c>
      <c r="D129" s="39" t="s">
        <v>30</v>
      </c>
      <c r="E129" s="39"/>
      <c r="F129" s="27" t="s">
        <v>199</v>
      </c>
      <c r="G129" s="33" t="s">
        <v>200</v>
      </c>
      <c r="H129" s="27"/>
      <c r="I129" s="27"/>
      <c r="J129" s="27"/>
      <c r="K129" s="76"/>
      <c r="L129" s="27"/>
      <c r="M129" s="27"/>
      <c r="N129" s="27"/>
      <c r="O129" s="27"/>
      <c r="P129" s="27">
        <f t="shared" si="20"/>
        <v>0</v>
      </c>
      <c r="Q129" s="76"/>
      <c r="R129" s="76"/>
      <c r="S129" s="27"/>
      <c r="T129" s="27"/>
      <c r="U129" s="27"/>
      <c r="V129" s="27"/>
      <c r="W129" s="27"/>
      <c r="X129" s="27"/>
      <c r="Y129" s="27">
        <f t="shared" si="21"/>
        <v>0</v>
      </c>
      <c r="Z129" s="77">
        <f t="shared" si="22"/>
        <v>0</v>
      </c>
      <c r="AA129" s="44">
        <v>10190</v>
      </c>
      <c r="AB129" s="46"/>
    </row>
    <row r="130" spans="1:28" x14ac:dyDescent="0.3">
      <c r="A130" s="79">
        <v>45919</v>
      </c>
      <c r="B130" s="23">
        <v>45901</v>
      </c>
      <c r="C130" s="65" t="s">
        <v>34</v>
      </c>
      <c r="D130" s="39" t="s">
        <v>30</v>
      </c>
      <c r="E130" s="39"/>
      <c r="F130" s="27" t="s">
        <v>185</v>
      </c>
      <c r="G130" s="33" t="s">
        <v>201</v>
      </c>
      <c r="H130" s="27"/>
      <c r="I130" s="27"/>
      <c r="J130" s="27"/>
      <c r="K130" s="76"/>
      <c r="L130" s="27"/>
      <c r="M130" s="27"/>
      <c r="N130" s="27"/>
      <c r="O130" s="27"/>
      <c r="P130" s="27">
        <f t="shared" si="20"/>
        <v>0</v>
      </c>
      <c r="Q130" s="76"/>
      <c r="R130" s="76"/>
      <c r="S130" s="27"/>
      <c r="T130" s="27"/>
      <c r="U130" s="27"/>
      <c r="V130" s="27"/>
      <c r="W130" s="27"/>
      <c r="X130" s="27"/>
      <c r="Y130" s="27">
        <f t="shared" si="21"/>
        <v>0</v>
      </c>
      <c r="Z130" s="77">
        <f t="shared" si="22"/>
        <v>0</v>
      </c>
      <c r="AA130" s="44"/>
      <c r="AB130" s="46"/>
    </row>
    <row r="131" spans="1:28" x14ac:dyDescent="0.3">
      <c r="A131" s="79">
        <v>45919</v>
      </c>
      <c r="B131" s="23">
        <v>45901</v>
      </c>
      <c r="C131" s="65" t="s">
        <v>34</v>
      </c>
      <c r="D131" s="39" t="s">
        <v>67</v>
      </c>
      <c r="E131" s="39"/>
      <c r="F131" s="27" t="s">
        <v>125</v>
      </c>
      <c r="G131" s="33" t="s">
        <v>202</v>
      </c>
      <c r="H131" s="27"/>
      <c r="I131" s="27"/>
      <c r="J131" s="27"/>
      <c r="K131" s="76"/>
      <c r="L131" s="27"/>
      <c r="M131" s="27"/>
      <c r="N131" s="27"/>
      <c r="O131" s="27"/>
      <c r="P131" s="27">
        <f t="shared" si="20"/>
        <v>0</v>
      </c>
      <c r="Q131" s="76"/>
      <c r="R131" s="76"/>
      <c r="S131" s="27"/>
      <c r="T131" s="27"/>
      <c r="U131" s="27"/>
      <c r="V131" s="27"/>
      <c r="W131" s="27"/>
      <c r="X131" s="27"/>
      <c r="Y131" s="27">
        <f t="shared" si="21"/>
        <v>0</v>
      </c>
      <c r="Z131" s="77">
        <f t="shared" si="22"/>
        <v>0</v>
      </c>
      <c r="AA131" s="44"/>
      <c r="AB131" s="46"/>
    </row>
    <row r="132" spans="1:28" x14ac:dyDescent="0.3">
      <c r="A132" s="79">
        <v>45920</v>
      </c>
      <c r="B132" s="23">
        <v>45901</v>
      </c>
      <c r="C132" s="65" t="s">
        <v>34</v>
      </c>
      <c r="D132" s="39" t="s">
        <v>30</v>
      </c>
      <c r="E132" s="39"/>
      <c r="F132" s="27" t="s">
        <v>203</v>
      </c>
      <c r="G132" s="33" t="s">
        <v>204</v>
      </c>
      <c r="H132" s="27"/>
      <c r="I132" s="27"/>
      <c r="J132" s="27"/>
      <c r="K132" s="76"/>
      <c r="L132" s="27"/>
      <c r="M132" s="27"/>
      <c r="N132" s="27"/>
      <c r="O132" s="27"/>
      <c r="P132" s="27">
        <f t="shared" si="20"/>
        <v>0</v>
      </c>
      <c r="Q132" s="76"/>
      <c r="R132" s="76"/>
      <c r="S132" s="27"/>
      <c r="T132" s="27"/>
      <c r="U132" s="27"/>
      <c r="V132" s="27"/>
      <c r="W132" s="27"/>
      <c r="X132" s="27"/>
      <c r="Y132" s="27">
        <f t="shared" si="21"/>
        <v>0</v>
      </c>
      <c r="Z132" s="77">
        <f t="shared" si="22"/>
        <v>0</v>
      </c>
      <c r="AA132" s="44"/>
      <c r="AB132" s="46"/>
    </row>
    <row r="133" spans="1:28" x14ac:dyDescent="0.3">
      <c r="A133" s="79">
        <v>45920</v>
      </c>
      <c r="B133" s="23">
        <v>45901</v>
      </c>
      <c r="C133" s="65" t="s">
        <v>34</v>
      </c>
      <c r="D133" s="39" t="s">
        <v>30</v>
      </c>
      <c r="E133" s="39"/>
      <c r="F133" s="27" t="s">
        <v>42</v>
      </c>
      <c r="G133" s="33" t="s">
        <v>205</v>
      </c>
      <c r="H133" s="27"/>
      <c r="I133" s="27"/>
      <c r="J133" s="27"/>
      <c r="K133" s="76"/>
      <c r="L133" s="27"/>
      <c r="M133" s="27"/>
      <c r="N133" s="27"/>
      <c r="O133" s="27"/>
      <c r="P133" s="27">
        <f t="shared" si="20"/>
        <v>0</v>
      </c>
      <c r="Q133" s="76"/>
      <c r="R133" s="76"/>
      <c r="S133" s="27"/>
      <c r="T133" s="27"/>
      <c r="U133" s="27"/>
      <c r="V133" s="27"/>
      <c r="W133" s="27"/>
      <c r="X133" s="27"/>
      <c r="Y133" s="27">
        <f t="shared" si="21"/>
        <v>0</v>
      </c>
      <c r="Z133" s="77">
        <f t="shared" si="22"/>
        <v>0</v>
      </c>
      <c r="AA133" s="44">
        <v>47810.400000000001</v>
      </c>
      <c r="AB133" s="46"/>
    </row>
    <row r="134" spans="1:28" x14ac:dyDescent="0.3">
      <c r="A134" s="79">
        <v>45920</v>
      </c>
      <c r="B134" s="23">
        <v>45901</v>
      </c>
      <c r="C134" s="65" t="s">
        <v>34</v>
      </c>
      <c r="D134" s="39" t="s">
        <v>30</v>
      </c>
      <c r="E134" s="39"/>
      <c r="F134" s="27" t="s">
        <v>206</v>
      </c>
      <c r="G134" s="33" t="s">
        <v>207</v>
      </c>
      <c r="H134" s="27"/>
      <c r="I134" s="27"/>
      <c r="J134" s="27"/>
      <c r="K134" s="76"/>
      <c r="L134" s="27"/>
      <c r="M134" s="27"/>
      <c r="N134" s="27"/>
      <c r="O134" s="27"/>
      <c r="P134" s="27">
        <f t="shared" si="20"/>
        <v>0</v>
      </c>
      <c r="Q134" s="76"/>
      <c r="R134" s="76"/>
      <c r="S134" s="27"/>
      <c r="T134" s="27"/>
      <c r="U134" s="27"/>
      <c r="V134" s="27"/>
      <c r="W134" s="27"/>
      <c r="X134" s="27"/>
      <c r="Y134" s="27">
        <f t="shared" si="21"/>
        <v>0</v>
      </c>
      <c r="Z134" s="77">
        <f t="shared" si="22"/>
        <v>0</v>
      </c>
      <c r="AA134" s="44"/>
      <c r="AB134" s="46"/>
    </row>
    <row r="135" spans="1:28" x14ac:dyDescent="0.3">
      <c r="A135" s="79">
        <v>45920</v>
      </c>
      <c r="B135" s="23">
        <v>45901</v>
      </c>
      <c r="C135" s="65" t="s">
        <v>29</v>
      </c>
      <c r="D135" s="39" t="s">
        <v>67</v>
      </c>
      <c r="E135" s="39"/>
      <c r="F135" s="27" t="s">
        <v>125</v>
      </c>
      <c r="G135" s="33" t="s">
        <v>208</v>
      </c>
      <c r="H135" s="27"/>
      <c r="I135" s="27"/>
      <c r="J135" s="27"/>
      <c r="K135" s="76"/>
      <c r="L135" s="27"/>
      <c r="M135" s="27"/>
      <c r="N135" s="27"/>
      <c r="O135" s="27"/>
      <c r="P135" s="27">
        <f t="shared" si="20"/>
        <v>0</v>
      </c>
      <c r="Q135" s="76"/>
      <c r="R135" s="76"/>
      <c r="S135" s="27"/>
      <c r="T135" s="27"/>
      <c r="U135" s="27"/>
      <c r="V135" s="27"/>
      <c r="W135" s="27"/>
      <c r="X135" s="27"/>
      <c r="Y135" s="27">
        <f t="shared" si="21"/>
        <v>0</v>
      </c>
      <c r="Z135" s="77">
        <f t="shared" si="22"/>
        <v>0</v>
      </c>
      <c r="AA135" s="44">
        <f>27325.93+650</f>
        <v>27975.93</v>
      </c>
      <c r="AB135" s="46"/>
    </row>
    <row r="136" spans="1:28" x14ac:dyDescent="0.3">
      <c r="A136" s="79">
        <v>45920</v>
      </c>
      <c r="B136" s="23">
        <v>45901</v>
      </c>
      <c r="C136" s="65" t="s">
        <v>29</v>
      </c>
      <c r="D136" s="39" t="s">
        <v>67</v>
      </c>
      <c r="E136" s="39"/>
      <c r="F136" s="27" t="s">
        <v>69</v>
      </c>
      <c r="G136" s="33" t="s">
        <v>209</v>
      </c>
      <c r="H136" s="27"/>
      <c r="I136" s="27"/>
      <c r="J136" s="27"/>
      <c r="K136" s="76"/>
      <c r="L136" s="27"/>
      <c r="M136" s="27"/>
      <c r="N136" s="27"/>
      <c r="O136" s="27"/>
      <c r="P136" s="27">
        <f t="shared" si="20"/>
        <v>0</v>
      </c>
      <c r="Q136" s="76"/>
      <c r="R136" s="76"/>
      <c r="S136" s="27"/>
      <c r="T136" s="27"/>
      <c r="U136" s="27"/>
      <c r="V136" s="27"/>
      <c r="W136" s="27"/>
      <c r="X136" s="27"/>
      <c r="Y136" s="27">
        <f t="shared" si="21"/>
        <v>0</v>
      </c>
      <c r="Z136" s="77">
        <f t="shared" si="22"/>
        <v>0</v>
      </c>
      <c r="AA136" s="44">
        <v>12433.12</v>
      </c>
      <c r="AB136" s="46"/>
    </row>
    <row r="137" spans="1:28" x14ac:dyDescent="0.3">
      <c r="A137" s="79">
        <v>45920</v>
      </c>
      <c r="B137" s="23">
        <v>45901</v>
      </c>
      <c r="C137" s="65" t="s">
        <v>29</v>
      </c>
      <c r="D137" s="39" t="s">
        <v>67</v>
      </c>
      <c r="E137" s="39"/>
      <c r="F137" s="27" t="s">
        <v>139</v>
      </c>
      <c r="G137" s="33" t="s">
        <v>210</v>
      </c>
      <c r="H137" s="27"/>
      <c r="I137" s="27"/>
      <c r="J137" s="27"/>
      <c r="K137" s="76"/>
      <c r="L137" s="27"/>
      <c r="M137" s="27"/>
      <c r="N137" s="27"/>
      <c r="O137" s="27"/>
      <c r="P137" s="27">
        <f t="shared" si="20"/>
        <v>0</v>
      </c>
      <c r="Q137" s="76"/>
      <c r="R137" s="76"/>
      <c r="S137" s="27"/>
      <c r="T137" s="27"/>
      <c r="U137" s="27"/>
      <c r="V137" s="27"/>
      <c r="W137" s="27"/>
      <c r="X137" s="27"/>
      <c r="Y137" s="27">
        <f t="shared" si="21"/>
        <v>0</v>
      </c>
      <c r="Z137" s="77">
        <f t="shared" si="22"/>
        <v>0</v>
      </c>
      <c r="AA137" s="44">
        <v>20355.38</v>
      </c>
      <c r="AB137" s="46"/>
    </row>
    <row r="138" spans="1:28" x14ac:dyDescent="0.3">
      <c r="A138" s="79">
        <v>45920</v>
      </c>
      <c r="B138" s="23">
        <v>45901</v>
      </c>
      <c r="C138" s="65" t="s">
        <v>29</v>
      </c>
      <c r="D138" s="39" t="s">
        <v>67</v>
      </c>
      <c r="E138" s="39"/>
      <c r="F138" s="27" t="s">
        <v>107</v>
      </c>
      <c r="G138" s="33" t="s">
        <v>211</v>
      </c>
      <c r="H138" s="27"/>
      <c r="I138" s="27"/>
      <c r="J138" s="27"/>
      <c r="K138" s="76"/>
      <c r="L138" s="27"/>
      <c r="M138" s="27"/>
      <c r="N138" s="27"/>
      <c r="O138" s="27"/>
      <c r="P138" s="27">
        <f t="shared" si="20"/>
        <v>0</v>
      </c>
      <c r="Q138" s="76"/>
      <c r="R138" s="76"/>
      <c r="S138" s="27"/>
      <c r="T138" s="27"/>
      <c r="U138" s="27"/>
      <c r="V138" s="27"/>
      <c r="W138" s="27"/>
      <c r="X138" s="27"/>
      <c r="Y138" s="27">
        <f t="shared" si="21"/>
        <v>0</v>
      </c>
      <c r="Z138" s="77">
        <f t="shared" si="22"/>
        <v>0</v>
      </c>
      <c r="AA138" s="44">
        <v>17906.28</v>
      </c>
      <c r="AB138" s="46"/>
    </row>
    <row r="139" spans="1:28" x14ac:dyDescent="0.3">
      <c r="A139" s="79">
        <v>45920</v>
      </c>
      <c r="B139" s="23">
        <v>45901</v>
      </c>
      <c r="C139" s="65" t="s">
        <v>29</v>
      </c>
      <c r="D139" s="39" t="s">
        <v>67</v>
      </c>
      <c r="E139" s="39"/>
      <c r="F139" s="27" t="s">
        <v>86</v>
      </c>
      <c r="G139" s="33" t="s">
        <v>212</v>
      </c>
      <c r="H139" s="27"/>
      <c r="I139" s="27"/>
      <c r="J139" s="27"/>
      <c r="K139" s="76"/>
      <c r="L139" s="27"/>
      <c r="M139" s="27"/>
      <c r="N139" s="27"/>
      <c r="O139" s="27"/>
      <c r="P139" s="27">
        <f t="shared" si="20"/>
        <v>0</v>
      </c>
      <c r="Q139" s="76"/>
      <c r="R139" s="76"/>
      <c r="S139" s="27"/>
      <c r="T139" s="27"/>
      <c r="U139" s="27"/>
      <c r="V139" s="27"/>
      <c r="W139" s="27"/>
      <c r="X139" s="27"/>
      <c r="Y139" s="27">
        <f t="shared" si="21"/>
        <v>0</v>
      </c>
      <c r="Z139" s="77">
        <f t="shared" si="22"/>
        <v>0</v>
      </c>
      <c r="AA139" s="44">
        <v>16356.73</v>
      </c>
      <c r="AB139" s="46"/>
    </row>
    <row r="140" spans="1:28" x14ac:dyDescent="0.3">
      <c r="A140" s="79">
        <v>45920</v>
      </c>
      <c r="B140" s="23">
        <v>45901</v>
      </c>
      <c r="C140" s="65" t="s">
        <v>29</v>
      </c>
      <c r="D140" s="39" t="s">
        <v>67</v>
      </c>
      <c r="E140" s="39"/>
      <c r="F140" s="27" t="s">
        <v>76</v>
      </c>
      <c r="G140" s="33" t="s">
        <v>213</v>
      </c>
      <c r="H140" s="27"/>
      <c r="I140" s="27"/>
      <c r="J140" s="27"/>
      <c r="K140" s="76"/>
      <c r="L140" s="27"/>
      <c r="M140" s="27"/>
      <c r="N140" s="27"/>
      <c r="O140" s="27"/>
      <c r="P140" s="27">
        <f t="shared" si="20"/>
        <v>0</v>
      </c>
      <c r="Q140" s="76"/>
      <c r="R140" s="76"/>
      <c r="S140" s="27"/>
      <c r="T140" s="27"/>
      <c r="U140" s="27"/>
      <c r="V140" s="27"/>
      <c r="W140" s="27"/>
      <c r="X140" s="27"/>
      <c r="Y140" s="27">
        <f t="shared" si="21"/>
        <v>0</v>
      </c>
      <c r="Z140" s="77">
        <f t="shared" si="22"/>
        <v>0</v>
      </c>
      <c r="AA140" s="44">
        <v>23795.68</v>
      </c>
      <c r="AB140" s="46"/>
    </row>
    <row r="141" spans="1:28" x14ac:dyDescent="0.3">
      <c r="A141" s="80">
        <v>45920</v>
      </c>
      <c r="B141" s="23">
        <v>45901</v>
      </c>
      <c r="C141" s="73" t="s">
        <v>108</v>
      </c>
      <c r="D141" s="41" t="s">
        <v>108</v>
      </c>
      <c r="E141" s="41"/>
      <c r="F141" s="53" t="s">
        <v>155</v>
      </c>
      <c r="G141" s="42" t="s">
        <v>214</v>
      </c>
      <c r="H141" s="53"/>
      <c r="I141" s="53"/>
      <c r="J141" s="53"/>
      <c r="K141" s="76"/>
      <c r="L141" s="53"/>
      <c r="M141" s="53"/>
      <c r="N141" s="53"/>
      <c r="O141" s="53"/>
      <c r="P141" s="53">
        <f t="shared" si="20"/>
        <v>0</v>
      </c>
      <c r="Q141" s="76"/>
      <c r="R141" s="76"/>
      <c r="S141" s="53"/>
      <c r="T141" s="53"/>
      <c r="U141" s="53"/>
      <c r="V141" s="53"/>
      <c r="W141" s="53"/>
      <c r="X141" s="53"/>
      <c r="Y141" s="53">
        <f t="shared" si="21"/>
        <v>0</v>
      </c>
      <c r="Z141" s="78">
        <f t="shared" si="22"/>
        <v>0</v>
      </c>
      <c r="AA141" s="74"/>
      <c r="AB141" s="75"/>
    </row>
    <row r="142" spans="1:28" x14ac:dyDescent="0.3">
      <c r="A142" s="79">
        <v>45923</v>
      </c>
      <c r="B142" s="23">
        <v>45901</v>
      </c>
      <c r="C142" s="65" t="s">
        <v>34</v>
      </c>
      <c r="D142" s="39" t="s">
        <v>67</v>
      </c>
      <c r="E142" s="39"/>
      <c r="F142" s="27" t="s">
        <v>125</v>
      </c>
      <c r="G142" s="33" t="s">
        <v>215</v>
      </c>
      <c r="H142" s="27"/>
      <c r="I142" s="27"/>
      <c r="J142" s="27"/>
      <c r="K142" s="42"/>
      <c r="L142" s="27"/>
      <c r="M142" s="27"/>
      <c r="N142" s="27"/>
      <c r="O142" s="27"/>
      <c r="P142" s="27">
        <f t="shared" ref="P142:P163" si="23">(L142*M142)+(N142*O142)</f>
        <v>0</v>
      </c>
      <c r="Q142" s="42"/>
      <c r="R142" s="42"/>
      <c r="S142" s="27"/>
      <c r="T142" s="27"/>
      <c r="U142" s="27"/>
      <c r="V142" s="27"/>
      <c r="W142" s="27"/>
      <c r="X142" s="27"/>
      <c r="Y142" s="27">
        <f t="shared" ref="Y142:Y163" si="24">(S142*T142)+(W142*X142)+(U142*V142)</f>
        <v>0</v>
      </c>
      <c r="Z142" s="77">
        <f t="shared" ref="Z142:Z163" si="25">((P142*$AF$7)+(Y142*$AF$8/100)*$AG$7)</f>
        <v>0</v>
      </c>
      <c r="AA142" s="44">
        <v>18223.5</v>
      </c>
      <c r="AB142" s="46"/>
    </row>
    <row r="143" spans="1:28" x14ac:dyDescent="0.3">
      <c r="A143" s="79">
        <v>45923</v>
      </c>
      <c r="B143" s="23">
        <v>45901</v>
      </c>
      <c r="C143" s="65" t="s">
        <v>34</v>
      </c>
      <c r="D143" s="39" t="s">
        <v>30</v>
      </c>
      <c r="E143" s="39"/>
      <c r="F143" s="27" t="s">
        <v>148</v>
      </c>
      <c r="G143" s="33" t="s">
        <v>216</v>
      </c>
      <c r="H143" s="27"/>
      <c r="I143" s="27"/>
      <c r="J143" s="27"/>
      <c r="K143" s="76"/>
      <c r="L143" s="27"/>
      <c r="M143" s="27"/>
      <c r="N143" s="27"/>
      <c r="O143" s="27"/>
      <c r="P143" s="27">
        <f t="shared" si="23"/>
        <v>0</v>
      </c>
      <c r="Q143" s="76"/>
      <c r="R143" s="76"/>
      <c r="S143" s="27"/>
      <c r="T143" s="27"/>
      <c r="U143" s="27"/>
      <c r="V143" s="27"/>
      <c r="W143" s="27"/>
      <c r="X143" s="27"/>
      <c r="Y143" s="27">
        <f t="shared" si="24"/>
        <v>0</v>
      </c>
      <c r="Z143" s="77">
        <f t="shared" si="25"/>
        <v>0</v>
      </c>
      <c r="AA143" s="44">
        <v>156000</v>
      </c>
      <c r="AB143" s="46"/>
    </row>
    <row r="144" spans="1:28" x14ac:dyDescent="0.3">
      <c r="A144" s="79">
        <v>45923</v>
      </c>
      <c r="B144" s="23">
        <v>45901</v>
      </c>
      <c r="C144" s="65" t="s">
        <v>34</v>
      </c>
      <c r="D144" s="39" t="s">
        <v>30</v>
      </c>
      <c r="E144" s="39"/>
      <c r="F144" s="27" t="s">
        <v>91</v>
      </c>
      <c r="G144" s="33" t="s">
        <v>217</v>
      </c>
      <c r="H144" s="27"/>
      <c r="I144" s="27"/>
      <c r="J144" s="27"/>
      <c r="K144" s="76"/>
      <c r="L144" s="27"/>
      <c r="M144" s="27"/>
      <c r="N144" s="27"/>
      <c r="O144" s="27"/>
      <c r="P144" s="27">
        <f t="shared" si="23"/>
        <v>0</v>
      </c>
      <c r="Q144" s="76"/>
      <c r="R144" s="76"/>
      <c r="S144" s="27"/>
      <c r="T144" s="27"/>
      <c r="U144" s="27"/>
      <c r="V144" s="27"/>
      <c r="W144" s="27"/>
      <c r="X144" s="27"/>
      <c r="Y144" s="27">
        <f t="shared" si="24"/>
        <v>0</v>
      </c>
      <c r="Z144" s="77">
        <f t="shared" si="25"/>
        <v>0</v>
      </c>
      <c r="AA144" s="44">
        <v>20747</v>
      </c>
      <c r="AB144" s="46"/>
    </row>
    <row r="145" spans="1:28" x14ac:dyDescent="0.3">
      <c r="A145" s="79">
        <v>45924</v>
      </c>
      <c r="B145" s="23">
        <v>45901</v>
      </c>
      <c r="C145" s="65" t="s">
        <v>34</v>
      </c>
      <c r="D145" s="39" t="s">
        <v>30</v>
      </c>
      <c r="E145" s="39"/>
      <c r="F145" s="27" t="s">
        <v>218</v>
      </c>
      <c r="G145" s="33" t="s">
        <v>219</v>
      </c>
      <c r="H145" s="27"/>
      <c r="I145" s="27"/>
      <c r="J145" s="27"/>
      <c r="K145" s="76"/>
      <c r="L145" s="27"/>
      <c r="M145" s="27"/>
      <c r="N145" s="27"/>
      <c r="O145" s="27"/>
      <c r="P145" s="27">
        <f t="shared" si="23"/>
        <v>0</v>
      </c>
      <c r="Q145" s="76"/>
      <c r="R145" s="76"/>
      <c r="S145" s="27"/>
      <c r="T145" s="27"/>
      <c r="U145" s="27"/>
      <c r="V145" s="27"/>
      <c r="W145" s="27"/>
      <c r="X145" s="27"/>
      <c r="Y145" s="27">
        <f t="shared" si="24"/>
        <v>0</v>
      </c>
      <c r="Z145" s="77">
        <f t="shared" si="25"/>
        <v>0</v>
      </c>
      <c r="AA145" s="44">
        <v>10237.5</v>
      </c>
      <c r="AB145" s="46"/>
    </row>
    <row r="146" spans="1:28" x14ac:dyDescent="0.3">
      <c r="A146" s="79">
        <v>45924</v>
      </c>
      <c r="B146" s="23">
        <v>45901</v>
      </c>
      <c r="C146" s="65" t="s">
        <v>34</v>
      </c>
      <c r="D146" s="39" t="s">
        <v>30</v>
      </c>
      <c r="E146" s="39"/>
      <c r="F146" s="27" t="s">
        <v>97</v>
      </c>
      <c r="G146" s="33" t="s">
        <v>220</v>
      </c>
      <c r="H146" s="27"/>
      <c r="I146" s="27"/>
      <c r="J146" s="27"/>
      <c r="K146" s="76"/>
      <c r="L146" s="27"/>
      <c r="M146" s="27"/>
      <c r="N146" s="27"/>
      <c r="O146" s="27"/>
      <c r="P146" s="27">
        <f t="shared" si="23"/>
        <v>0</v>
      </c>
      <c r="Q146" s="76"/>
      <c r="R146" s="76"/>
      <c r="S146" s="27"/>
      <c r="T146" s="27"/>
      <c r="U146" s="27"/>
      <c r="V146" s="27"/>
      <c r="W146" s="27"/>
      <c r="X146" s="27"/>
      <c r="Y146" s="27">
        <f t="shared" si="24"/>
        <v>0</v>
      </c>
      <c r="Z146" s="77">
        <f t="shared" si="25"/>
        <v>0</v>
      </c>
      <c r="AA146" s="44">
        <v>5600</v>
      </c>
      <c r="AB146" s="46"/>
    </row>
    <row r="147" spans="1:28" x14ac:dyDescent="0.3">
      <c r="A147" s="79">
        <v>45924</v>
      </c>
      <c r="B147" s="23">
        <v>45901</v>
      </c>
      <c r="C147" s="65" t="s">
        <v>34</v>
      </c>
      <c r="D147" s="39" t="s">
        <v>30</v>
      </c>
      <c r="E147" s="39"/>
      <c r="F147" s="27" t="s">
        <v>221</v>
      </c>
      <c r="G147" s="33" t="s">
        <v>222</v>
      </c>
      <c r="H147" s="27"/>
      <c r="I147" s="27"/>
      <c r="J147" s="27"/>
      <c r="K147" s="76"/>
      <c r="L147" s="27"/>
      <c r="M147" s="27"/>
      <c r="N147" s="27"/>
      <c r="O147" s="27"/>
      <c r="P147" s="27">
        <f t="shared" si="23"/>
        <v>0</v>
      </c>
      <c r="Q147" s="76"/>
      <c r="R147" s="76"/>
      <c r="S147" s="27"/>
      <c r="T147" s="27"/>
      <c r="U147" s="27"/>
      <c r="V147" s="27"/>
      <c r="W147" s="27"/>
      <c r="X147" s="27"/>
      <c r="Y147" s="27">
        <f t="shared" si="24"/>
        <v>0</v>
      </c>
      <c r="Z147" s="77">
        <f t="shared" si="25"/>
        <v>0</v>
      </c>
      <c r="AA147" s="44">
        <v>19332.5</v>
      </c>
      <c r="AB147" s="46"/>
    </row>
    <row r="148" spans="1:28" x14ac:dyDescent="0.3">
      <c r="A148" s="79">
        <v>45924</v>
      </c>
      <c r="B148" s="23">
        <v>45901</v>
      </c>
      <c r="C148" s="65" t="s">
        <v>34</v>
      </c>
      <c r="D148" s="39" t="s">
        <v>67</v>
      </c>
      <c r="E148" s="39"/>
      <c r="F148" s="27" t="s">
        <v>69</v>
      </c>
      <c r="G148" s="33" t="s">
        <v>223</v>
      </c>
      <c r="H148" s="27"/>
      <c r="I148" s="27"/>
      <c r="J148" s="27"/>
      <c r="K148" s="76"/>
      <c r="L148" s="27"/>
      <c r="M148" s="27"/>
      <c r="N148" s="27"/>
      <c r="O148" s="27"/>
      <c r="P148" s="27">
        <f t="shared" si="23"/>
        <v>0</v>
      </c>
      <c r="Q148" s="76"/>
      <c r="R148" s="76"/>
      <c r="S148" s="27"/>
      <c r="T148" s="27"/>
      <c r="U148" s="27"/>
      <c r="V148" s="27"/>
      <c r="W148" s="27"/>
      <c r="X148" s="27"/>
      <c r="Y148" s="27">
        <f t="shared" si="24"/>
        <v>0</v>
      </c>
      <c r="Z148" s="77">
        <f t="shared" si="25"/>
        <v>0</v>
      </c>
      <c r="AA148" s="44">
        <v>5550</v>
      </c>
      <c r="AB148" s="46"/>
    </row>
    <row r="149" spans="1:28" x14ac:dyDescent="0.3">
      <c r="A149" s="79">
        <v>45925</v>
      </c>
      <c r="B149" s="23">
        <v>45901</v>
      </c>
      <c r="C149" s="65" t="s">
        <v>34</v>
      </c>
      <c r="D149" s="39" t="s">
        <v>30</v>
      </c>
      <c r="E149" s="39"/>
      <c r="F149" s="27" t="s">
        <v>97</v>
      </c>
      <c r="G149" s="33" t="s">
        <v>224</v>
      </c>
      <c r="H149" s="27"/>
      <c r="I149" s="27"/>
      <c r="J149" s="27"/>
      <c r="K149" s="76"/>
      <c r="L149" s="27"/>
      <c r="M149" s="27"/>
      <c r="N149" s="27"/>
      <c r="O149" s="27"/>
      <c r="P149" s="27">
        <f t="shared" si="23"/>
        <v>0</v>
      </c>
      <c r="Q149" s="76"/>
      <c r="R149" s="76"/>
      <c r="S149" s="27"/>
      <c r="T149" s="27"/>
      <c r="U149" s="27"/>
      <c r="V149" s="27"/>
      <c r="W149" s="27"/>
      <c r="X149" s="27"/>
      <c r="Y149" s="27">
        <f t="shared" si="24"/>
        <v>0</v>
      </c>
      <c r="Z149" s="77">
        <f t="shared" si="25"/>
        <v>0</v>
      </c>
      <c r="AA149" s="44">
        <v>11660</v>
      </c>
      <c r="AB149" s="46"/>
    </row>
    <row r="150" spans="1:28" x14ac:dyDescent="0.3">
      <c r="A150" s="79">
        <v>45925</v>
      </c>
      <c r="B150" s="23">
        <v>45901</v>
      </c>
      <c r="C150" s="65" t="s">
        <v>34</v>
      </c>
      <c r="D150" s="39" t="s">
        <v>30</v>
      </c>
      <c r="E150" s="39"/>
      <c r="F150" s="27" t="s">
        <v>225</v>
      </c>
      <c r="G150" s="33" t="s">
        <v>226</v>
      </c>
      <c r="H150" s="27"/>
      <c r="I150" s="27"/>
      <c r="J150" s="27"/>
      <c r="K150" s="76"/>
      <c r="L150" s="27"/>
      <c r="M150" s="27"/>
      <c r="N150" s="27"/>
      <c r="O150" s="27"/>
      <c r="P150" s="27">
        <f t="shared" si="23"/>
        <v>0</v>
      </c>
      <c r="Q150" s="76"/>
      <c r="R150" s="76"/>
      <c r="S150" s="27"/>
      <c r="T150" s="27"/>
      <c r="U150" s="27"/>
      <c r="V150" s="27"/>
      <c r="W150" s="27"/>
      <c r="X150" s="27"/>
      <c r="Y150" s="27">
        <f t="shared" si="24"/>
        <v>0</v>
      </c>
      <c r="Z150" s="77">
        <f t="shared" si="25"/>
        <v>0</v>
      </c>
      <c r="AA150" s="44">
        <v>6613.8</v>
      </c>
      <c r="AB150" s="46"/>
    </row>
    <row r="151" spans="1:28" x14ac:dyDescent="0.3">
      <c r="A151" s="79">
        <v>45925</v>
      </c>
      <c r="B151" s="23">
        <v>45901</v>
      </c>
      <c r="C151" s="65" t="s">
        <v>34</v>
      </c>
      <c r="D151" s="39" t="s">
        <v>30</v>
      </c>
      <c r="E151" s="39"/>
      <c r="F151" s="27" t="s">
        <v>121</v>
      </c>
      <c r="G151" s="33" t="s">
        <v>227</v>
      </c>
      <c r="H151" s="27"/>
      <c r="I151" s="27"/>
      <c r="J151" s="27"/>
      <c r="K151" s="76"/>
      <c r="L151" s="27"/>
      <c r="M151" s="27"/>
      <c r="N151" s="27"/>
      <c r="O151" s="27"/>
      <c r="P151" s="27">
        <f t="shared" si="23"/>
        <v>0</v>
      </c>
      <c r="Q151" s="76"/>
      <c r="R151" s="76"/>
      <c r="S151" s="27"/>
      <c r="T151" s="27"/>
      <c r="U151" s="27"/>
      <c r="V151" s="27"/>
      <c r="W151" s="27"/>
      <c r="X151" s="27"/>
      <c r="Y151" s="27">
        <f t="shared" si="24"/>
        <v>0</v>
      </c>
      <c r="Z151" s="77">
        <f t="shared" si="25"/>
        <v>0</v>
      </c>
      <c r="AA151" s="44">
        <v>32766</v>
      </c>
      <c r="AB151" s="46"/>
    </row>
    <row r="152" spans="1:28" x14ac:dyDescent="0.3">
      <c r="A152" s="79">
        <v>45926</v>
      </c>
      <c r="B152" s="23">
        <v>45901</v>
      </c>
      <c r="C152" s="65" t="s">
        <v>34</v>
      </c>
      <c r="D152" s="39" t="s">
        <v>30</v>
      </c>
      <c r="E152" s="39"/>
      <c r="F152" s="27" t="s">
        <v>185</v>
      </c>
      <c r="G152" s="33" t="s">
        <v>228</v>
      </c>
      <c r="H152" s="27"/>
      <c r="I152" s="27"/>
      <c r="J152" s="27"/>
      <c r="K152" s="76"/>
      <c r="L152" s="27"/>
      <c r="M152" s="27"/>
      <c r="N152" s="27"/>
      <c r="O152" s="27"/>
      <c r="P152" s="27">
        <f t="shared" si="23"/>
        <v>0</v>
      </c>
      <c r="Q152" s="76"/>
      <c r="R152" s="76"/>
      <c r="S152" s="27"/>
      <c r="T152" s="27"/>
      <c r="U152" s="27"/>
      <c r="V152" s="27"/>
      <c r="W152" s="27"/>
      <c r="X152" s="27"/>
      <c r="Y152" s="27">
        <f t="shared" si="24"/>
        <v>0</v>
      </c>
      <c r="Z152" s="77">
        <f t="shared" si="25"/>
        <v>0</v>
      </c>
      <c r="AA152" s="44">
        <v>4749.6000000000004</v>
      </c>
      <c r="AB152" s="46"/>
    </row>
    <row r="153" spans="1:28" x14ac:dyDescent="0.3">
      <c r="A153" s="79">
        <v>45926</v>
      </c>
      <c r="B153" s="23">
        <v>45901</v>
      </c>
      <c r="C153" s="65" t="s">
        <v>34</v>
      </c>
      <c r="D153" s="39" t="s">
        <v>30</v>
      </c>
      <c r="E153" s="39"/>
      <c r="F153" s="27" t="s">
        <v>229</v>
      </c>
      <c r="G153" s="33" t="s">
        <v>230</v>
      </c>
      <c r="H153" s="27"/>
      <c r="I153" s="27"/>
      <c r="J153" s="27"/>
      <c r="K153" s="76"/>
      <c r="L153" s="27"/>
      <c r="M153" s="27"/>
      <c r="N153" s="27"/>
      <c r="O153" s="27"/>
      <c r="P153" s="27">
        <f t="shared" si="23"/>
        <v>0</v>
      </c>
      <c r="Q153" s="76"/>
      <c r="R153" s="76"/>
      <c r="S153" s="27"/>
      <c r="T153" s="27"/>
      <c r="U153" s="27"/>
      <c r="V153" s="27"/>
      <c r="W153" s="27"/>
      <c r="X153" s="27"/>
      <c r="Y153" s="27">
        <f t="shared" si="24"/>
        <v>0</v>
      </c>
      <c r="Z153" s="77">
        <f t="shared" si="25"/>
        <v>0</v>
      </c>
      <c r="AA153" s="44">
        <v>14590</v>
      </c>
      <c r="AB153" s="46"/>
    </row>
    <row r="154" spans="1:28" x14ac:dyDescent="0.3">
      <c r="A154" s="79">
        <v>45926</v>
      </c>
      <c r="B154" s="23">
        <v>45901</v>
      </c>
      <c r="C154" s="65" t="s">
        <v>34</v>
      </c>
      <c r="D154" s="39" t="s">
        <v>30</v>
      </c>
      <c r="E154" s="39"/>
      <c r="F154" s="27" t="s">
        <v>97</v>
      </c>
      <c r="G154" s="33" t="s">
        <v>231</v>
      </c>
      <c r="H154" s="27"/>
      <c r="I154" s="27"/>
      <c r="J154" s="27"/>
      <c r="K154" s="76"/>
      <c r="L154" s="27"/>
      <c r="M154" s="27"/>
      <c r="N154" s="27"/>
      <c r="O154" s="27"/>
      <c r="P154" s="27">
        <f t="shared" si="23"/>
        <v>0</v>
      </c>
      <c r="Q154" s="76"/>
      <c r="R154" s="76"/>
      <c r="S154" s="27"/>
      <c r="T154" s="27"/>
      <c r="U154" s="27"/>
      <c r="V154" s="27"/>
      <c r="W154" s="27"/>
      <c r="X154" s="27"/>
      <c r="Y154" s="27">
        <f t="shared" si="24"/>
        <v>0</v>
      </c>
      <c r="Z154" s="77">
        <f t="shared" si="25"/>
        <v>0</v>
      </c>
      <c r="AA154" s="44">
        <v>12043.8</v>
      </c>
      <c r="AB154" s="46"/>
    </row>
    <row r="155" spans="1:28" x14ac:dyDescent="0.3">
      <c r="A155" s="79">
        <v>45926</v>
      </c>
      <c r="B155" s="23">
        <v>45901</v>
      </c>
      <c r="C155" s="65" t="s">
        <v>29</v>
      </c>
      <c r="D155" s="39" t="s">
        <v>30</v>
      </c>
      <c r="E155" s="39"/>
      <c r="F155" s="27" t="s">
        <v>232</v>
      </c>
      <c r="G155" s="33" t="s">
        <v>233</v>
      </c>
      <c r="H155" s="27"/>
      <c r="I155" s="27"/>
      <c r="J155" s="27"/>
      <c r="K155" s="76"/>
      <c r="L155" s="27"/>
      <c r="M155" s="27"/>
      <c r="N155" s="27"/>
      <c r="O155" s="27"/>
      <c r="P155" s="27">
        <f t="shared" si="23"/>
        <v>0</v>
      </c>
      <c r="Q155" s="76"/>
      <c r="R155" s="76"/>
      <c r="S155" s="27"/>
      <c r="T155" s="27"/>
      <c r="U155" s="27"/>
      <c r="V155" s="27"/>
      <c r="W155" s="27"/>
      <c r="X155" s="27"/>
      <c r="Y155" s="27">
        <f t="shared" si="24"/>
        <v>0</v>
      </c>
      <c r="Z155" s="77">
        <f t="shared" si="25"/>
        <v>0</v>
      </c>
      <c r="AA155" s="44">
        <v>8539</v>
      </c>
      <c r="AB155" s="46"/>
    </row>
    <row r="156" spans="1:28" x14ac:dyDescent="0.3">
      <c r="A156" s="79">
        <v>45926</v>
      </c>
      <c r="B156" s="23">
        <v>45901</v>
      </c>
      <c r="C156" s="65" t="s">
        <v>29</v>
      </c>
      <c r="D156" s="39" t="s">
        <v>30</v>
      </c>
      <c r="E156" s="39"/>
      <c r="F156" s="27" t="s">
        <v>139</v>
      </c>
      <c r="G156" s="33" t="s">
        <v>234</v>
      </c>
      <c r="H156" s="27"/>
      <c r="I156" s="27"/>
      <c r="J156" s="27"/>
      <c r="K156" s="76"/>
      <c r="L156" s="27"/>
      <c r="M156" s="27"/>
      <c r="N156" s="27"/>
      <c r="O156" s="27"/>
      <c r="P156" s="27">
        <f t="shared" si="23"/>
        <v>0</v>
      </c>
      <c r="Q156" s="76"/>
      <c r="R156" s="76"/>
      <c r="S156" s="27"/>
      <c r="T156" s="27"/>
      <c r="U156" s="27"/>
      <c r="V156" s="27"/>
      <c r="W156" s="27"/>
      <c r="X156" s="27"/>
      <c r="Y156" s="27">
        <f t="shared" si="24"/>
        <v>0</v>
      </c>
      <c r="Z156" s="77">
        <f t="shared" si="25"/>
        <v>0</v>
      </c>
      <c r="AA156" s="44">
        <v>14893.35</v>
      </c>
      <c r="AB156" s="46"/>
    </row>
    <row r="157" spans="1:28" x14ac:dyDescent="0.3">
      <c r="A157" s="79">
        <v>45927</v>
      </c>
      <c r="B157" s="23">
        <v>45901</v>
      </c>
      <c r="C157" s="65" t="s">
        <v>29</v>
      </c>
      <c r="D157" s="39" t="s">
        <v>67</v>
      </c>
      <c r="E157" s="39"/>
      <c r="F157" s="27" t="s">
        <v>76</v>
      </c>
      <c r="G157" s="33" t="s">
        <v>235</v>
      </c>
      <c r="H157" s="27"/>
      <c r="I157" s="27"/>
      <c r="J157" s="27"/>
      <c r="K157" s="76"/>
      <c r="L157" s="27"/>
      <c r="M157" s="27"/>
      <c r="N157" s="27"/>
      <c r="O157" s="27"/>
      <c r="P157" s="27">
        <f t="shared" si="23"/>
        <v>0</v>
      </c>
      <c r="Q157" s="76"/>
      <c r="R157" s="76"/>
      <c r="S157" s="27"/>
      <c r="T157" s="27"/>
      <c r="U157" s="27"/>
      <c r="V157" s="27"/>
      <c r="W157" s="27"/>
      <c r="X157" s="27"/>
      <c r="Y157" s="27">
        <f t="shared" si="24"/>
        <v>0</v>
      </c>
      <c r="Z157" s="77">
        <f t="shared" si="25"/>
        <v>0</v>
      </c>
      <c r="AA157" s="44">
        <v>23456.98</v>
      </c>
      <c r="AB157" s="46"/>
    </row>
    <row r="158" spans="1:28" x14ac:dyDescent="0.3">
      <c r="A158" s="79">
        <v>45927</v>
      </c>
      <c r="B158" s="23">
        <v>45901</v>
      </c>
      <c r="C158" s="65" t="s">
        <v>29</v>
      </c>
      <c r="D158" s="39" t="s">
        <v>67</v>
      </c>
      <c r="E158" s="39"/>
      <c r="F158" s="27" t="s">
        <v>125</v>
      </c>
      <c r="G158" s="33" t="s">
        <v>236</v>
      </c>
      <c r="H158" s="27"/>
      <c r="I158" s="27"/>
      <c r="J158" s="27"/>
      <c r="K158" s="76"/>
      <c r="L158" s="27"/>
      <c r="M158" s="27"/>
      <c r="N158" s="27"/>
      <c r="O158" s="27"/>
      <c r="P158" s="27">
        <f t="shared" si="23"/>
        <v>0</v>
      </c>
      <c r="Q158" s="76"/>
      <c r="R158" s="76"/>
      <c r="S158" s="27"/>
      <c r="T158" s="27"/>
      <c r="U158" s="27"/>
      <c r="V158" s="27"/>
      <c r="W158" s="27"/>
      <c r="X158" s="27"/>
      <c r="Y158" s="27">
        <f t="shared" si="24"/>
        <v>0</v>
      </c>
      <c r="Z158" s="77">
        <f t="shared" si="25"/>
        <v>0</v>
      </c>
      <c r="AA158" s="44">
        <f>35805.33+325</f>
        <v>36130.33</v>
      </c>
      <c r="AB158" s="46"/>
    </row>
    <row r="159" spans="1:28" x14ac:dyDescent="0.3">
      <c r="A159" s="79">
        <v>45927</v>
      </c>
      <c r="B159" s="23">
        <v>45901</v>
      </c>
      <c r="C159" s="65" t="s">
        <v>29</v>
      </c>
      <c r="D159" s="39" t="s">
        <v>30</v>
      </c>
      <c r="E159" s="39"/>
      <c r="F159" s="27" t="s">
        <v>237</v>
      </c>
      <c r="G159" s="33" t="s">
        <v>238</v>
      </c>
      <c r="H159" s="27"/>
      <c r="I159" s="27"/>
      <c r="J159" s="27"/>
      <c r="K159" s="76"/>
      <c r="L159" s="27"/>
      <c r="M159" s="27"/>
      <c r="N159" s="27"/>
      <c r="O159" s="27"/>
      <c r="P159" s="27">
        <f t="shared" si="23"/>
        <v>0</v>
      </c>
      <c r="Q159" s="76"/>
      <c r="R159" s="76"/>
      <c r="S159" s="27"/>
      <c r="T159" s="27"/>
      <c r="U159" s="27"/>
      <c r="V159" s="27"/>
      <c r="W159" s="27"/>
      <c r="X159" s="27"/>
      <c r="Y159" s="27">
        <f t="shared" si="24"/>
        <v>0</v>
      </c>
      <c r="Z159" s="77">
        <f t="shared" si="25"/>
        <v>0</v>
      </c>
      <c r="AA159" s="44">
        <v>13532.5</v>
      </c>
      <c r="AB159" s="46"/>
    </row>
    <row r="160" spans="1:28" x14ac:dyDescent="0.3">
      <c r="A160" s="79">
        <v>45927</v>
      </c>
      <c r="B160" s="23">
        <v>45901</v>
      </c>
      <c r="C160" s="65" t="s">
        <v>29</v>
      </c>
      <c r="D160" s="39" t="s">
        <v>67</v>
      </c>
      <c r="E160" s="39"/>
      <c r="F160" s="27" t="s">
        <v>139</v>
      </c>
      <c r="G160" s="33" t="s">
        <v>239</v>
      </c>
      <c r="H160" s="27"/>
      <c r="I160" s="27"/>
      <c r="J160" s="27"/>
      <c r="K160" s="76"/>
      <c r="L160" s="27"/>
      <c r="M160" s="27"/>
      <c r="N160" s="27"/>
      <c r="O160" s="27"/>
      <c r="P160" s="27">
        <f t="shared" si="23"/>
        <v>0</v>
      </c>
      <c r="Q160" s="76"/>
      <c r="R160" s="76"/>
      <c r="S160" s="27"/>
      <c r="T160" s="27"/>
      <c r="U160" s="27"/>
      <c r="V160" s="27"/>
      <c r="W160" s="27"/>
      <c r="X160" s="27"/>
      <c r="Y160" s="27">
        <f t="shared" si="24"/>
        <v>0</v>
      </c>
      <c r="Z160" s="77">
        <f t="shared" si="25"/>
        <v>0</v>
      </c>
      <c r="AA160" s="44">
        <v>15430.94</v>
      </c>
      <c r="AB160" s="46"/>
    </row>
    <row r="161" spans="1:28" x14ac:dyDescent="0.3">
      <c r="A161" s="79">
        <v>45927</v>
      </c>
      <c r="B161" s="23">
        <v>45901</v>
      </c>
      <c r="C161" s="65" t="s">
        <v>29</v>
      </c>
      <c r="D161" s="39" t="s">
        <v>30</v>
      </c>
      <c r="E161" s="39"/>
      <c r="F161" s="27" t="s">
        <v>240</v>
      </c>
      <c r="G161" s="33" t="s">
        <v>241</v>
      </c>
      <c r="H161" s="27"/>
      <c r="I161" s="27"/>
      <c r="J161" s="27"/>
      <c r="K161" s="76"/>
      <c r="L161" s="27"/>
      <c r="M161" s="27"/>
      <c r="N161" s="27"/>
      <c r="O161" s="27"/>
      <c r="P161" s="27">
        <f t="shared" si="23"/>
        <v>0</v>
      </c>
      <c r="Q161" s="76"/>
      <c r="R161" s="76"/>
      <c r="S161" s="27"/>
      <c r="T161" s="27"/>
      <c r="U161" s="27"/>
      <c r="V161" s="27"/>
      <c r="W161" s="27"/>
      <c r="X161" s="27"/>
      <c r="Y161" s="27">
        <f t="shared" si="24"/>
        <v>0</v>
      </c>
      <c r="Z161" s="77">
        <f t="shared" si="25"/>
        <v>0</v>
      </c>
      <c r="AA161" s="44">
        <v>12156.5</v>
      </c>
      <c r="AB161" s="46"/>
    </row>
    <row r="162" spans="1:28" x14ac:dyDescent="0.3">
      <c r="A162" s="79">
        <v>45927</v>
      </c>
      <c r="B162" s="23">
        <v>45901</v>
      </c>
      <c r="C162" s="65" t="s">
        <v>29</v>
      </c>
      <c r="D162" s="39" t="s">
        <v>30</v>
      </c>
      <c r="E162" s="39"/>
      <c r="F162" s="27" t="s">
        <v>242</v>
      </c>
      <c r="G162" s="33" t="s">
        <v>243</v>
      </c>
      <c r="H162" s="27"/>
      <c r="I162" s="27"/>
      <c r="J162" s="27"/>
      <c r="K162" s="76"/>
      <c r="L162" s="27"/>
      <c r="M162" s="27"/>
      <c r="N162" s="27"/>
      <c r="O162" s="27"/>
      <c r="P162" s="27">
        <f t="shared" si="23"/>
        <v>0</v>
      </c>
      <c r="Q162" s="76"/>
      <c r="R162" s="76"/>
      <c r="S162" s="27"/>
      <c r="T162" s="27"/>
      <c r="U162" s="27"/>
      <c r="V162" s="27"/>
      <c r="W162" s="27"/>
      <c r="X162" s="27"/>
      <c r="Y162" s="27">
        <f t="shared" si="24"/>
        <v>0</v>
      </c>
      <c r="Z162" s="77">
        <f t="shared" si="25"/>
        <v>0</v>
      </c>
      <c r="AA162" s="44">
        <f>14671+135</f>
        <v>14806</v>
      </c>
      <c r="AB162" s="46"/>
    </row>
    <row r="163" spans="1:28" x14ac:dyDescent="0.3">
      <c r="A163" s="79">
        <v>45927</v>
      </c>
      <c r="B163" s="23">
        <v>45901</v>
      </c>
      <c r="C163" s="65" t="s">
        <v>29</v>
      </c>
      <c r="D163" s="39" t="s">
        <v>67</v>
      </c>
      <c r="E163" s="39"/>
      <c r="F163" s="27" t="s">
        <v>111</v>
      </c>
      <c r="G163" s="33" t="s">
        <v>244</v>
      </c>
      <c r="H163" s="27"/>
      <c r="I163" s="27"/>
      <c r="J163" s="27"/>
      <c r="K163" s="76"/>
      <c r="L163" s="27"/>
      <c r="M163" s="27"/>
      <c r="N163" s="27"/>
      <c r="O163" s="27"/>
      <c r="P163" s="27">
        <f t="shared" si="23"/>
        <v>0</v>
      </c>
      <c r="Q163" s="76"/>
      <c r="R163" s="76"/>
      <c r="S163" s="27"/>
      <c r="T163" s="27"/>
      <c r="U163" s="27"/>
      <c r="V163" s="27"/>
      <c r="W163" s="27"/>
      <c r="X163" s="27"/>
      <c r="Y163" s="27">
        <f t="shared" si="24"/>
        <v>0</v>
      </c>
      <c r="Z163" s="77">
        <f t="shared" si="25"/>
        <v>0</v>
      </c>
      <c r="AA163" s="44">
        <f>31756.38+450</f>
        <v>32206.38</v>
      </c>
      <c r="AB163" s="46"/>
    </row>
    <row r="164" spans="1:28" x14ac:dyDescent="0.3">
      <c r="A164" s="79">
        <v>45929</v>
      </c>
      <c r="B164" s="23">
        <v>45901</v>
      </c>
      <c r="C164" s="65" t="s">
        <v>34</v>
      </c>
      <c r="D164" s="39" t="s">
        <v>30</v>
      </c>
      <c r="E164" s="39"/>
      <c r="F164" s="27" t="s">
        <v>101</v>
      </c>
      <c r="G164" s="33" t="s">
        <v>245</v>
      </c>
      <c r="H164" s="27"/>
      <c r="I164" s="27"/>
      <c r="J164" s="27"/>
      <c r="K164" s="42"/>
      <c r="L164" s="27"/>
      <c r="M164" s="27"/>
      <c r="N164" s="27"/>
      <c r="O164" s="27"/>
      <c r="P164" s="27">
        <f t="shared" ref="P164:P233" si="26">(L164*M164)+(N164*O164)</f>
        <v>0</v>
      </c>
      <c r="Q164" s="42"/>
      <c r="R164" s="42"/>
      <c r="S164" s="27"/>
      <c r="T164" s="27"/>
      <c r="U164" s="27"/>
      <c r="V164" s="27"/>
      <c r="W164" s="27"/>
      <c r="X164" s="27"/>
      <c r="Y164" s="27">
        <f t="shared" ref="Y164:Y233" si="27">(S164*T164)+(W164*X164)+(U164*V164)</f>
        <v>0</v>
      </c>
      <c r="Z164" s="77">
        <f t="shared" ref="Z164:Z233" si="28">((P164*$AF$7)+(Y164*$AF$8/100)*$AG$7)</f>
        <v>0</v>
      </c>
      <c r="AA164" s="44">
        <v>0</v>
      </c>
      <c r="AB164" s="46"/>
    </row>
    <row r="165" spans="1:28" x14ac:dyDescent="0.3">
      <c r="A165" s="79">
        <v>45929</v>
      </c>
      <c r="B165" s="23">
        <v>45901</v>
      </c>
      <c r="C165" s="65" t="s">
        <v>34</v>
      </c>
      <c r="D165" s="39" t="s">
        <v>30</v>
      </c>
      <c r="E165" s="39"/>
      <c r="F165" s="27" t="s">
        <v>155</v>
      </c>
      <c r="G165" s="33" t="s">
        <v>246</v>
      </c>
      <c r="H165" s="27"/>
      <c r="I165" s="27"/>
      <c r="J165" s="27"/>
      <c r="K165" s="76"/>
      <c r="L165" s="27"/>
      <c r="M165" s="27"/>
      <c r="N165" s="27"/>
      <c r="O165" s="27"/>
      <c r="P165" s="27">
        <f t="shared" si="26"/>
        <v>0</v>
      </c>
      <c r="Q165" s="76"/>
      <c r="R165" s="76"/>
      <c r="S165" s="27"/>
      <c r="T165" s="27"/>
      <c r="U165" s="27"/>
      <c r="V165" s="27"/>
      <c r="W165" s="27"/>
      <c r="X165" s="27"/>
      <c r="Y165" s="27">
        <f t="shared" si="27"/>
        <v>0</v>
      </c>
      <c r="Z165" s="77">
        <f t="shared" si="28"/>
        <v>0</v>
      </c>
      <c r="AA165" s="44">
        <v>134785.4</v>
      </c>
      <c r="AB165" s="46"/>
    </row>
    <row r="166" spans="1:28" x14ac:dyDescent="0.3">
      <c r="A166" s="79">
        <v>45930</v>
      </c>
      <c r="B166" s="23">
        <v>45901</v>
      </c>
      <c r="C166" s="65" t="s">
        <v>34</v>
      </c>
      <c r="D166" s="39" t="s">
        <v>30</v>
      </c>
      <c r="E166" s="39"/>
      <c r="F166" s="27" t="s">
        <v>247</v>
      </c>
      <c r="G166" s="33" t="s">
        <v>248</v>
      </c>
      <c r="H166" s="27"/>
      <c r="I166" s="27"/>
      <c r="J166" s="27"/>
      <c r="K166" s="76"/>
      <c r="L166" s="27"/>
      <c r="M166" s="27"/>
      <c r="N166" s="27"/>
      <c r="O166" s="27"/>
      <c r="P166" s="27">
        <f t="shared" si="26"/>
        <v>0</v>
      </c>
      <c r="Q166" s="76"/>
      <c r="R166" s="76"/>
      <c r="S166" s="27"/>
      <c r="T166" s="27"/>
      <c r="U166" s="27"/>
      <c r="V166" s="27"/>
      <c r="W166" s="27"/>
      <c r="X166" s="27"/>
      <c r="Y166" s="27">
        <f t="shared" si="27"/>
        <v>0</v>
      </c>
      <c r="Z166" s="77">
        <f t="shared" si="28"/>
        <v>0</v>
      </c>
      <c r="AA166" s="44">
        <v>8992.5</v>
      </c>
      <c r="AB166" s="46"/>
    </row>
    <row r="167" spans="1:28" x14ac:dyDescent="0.3">
      <c r="A167" s="79">
        <v>45930</v>
      </c>
      <c r="B167" s="23">
        <v>45901</v>
      </c>
      <c r="C167" s="65" t="s">
        <v>34</v>
      </c>
      <c r="D167" s="39" t="s">
        <v>30</v>
      </c>
      <c r="E167" s="39"/>
      <c r="F167" s="27" t="s">
        <v>249</v>
      </c>
      <c r="G167" s="33" t="s">
        <v>250</v>
      </c>
      <c r="H167" s="27"/>
      <c r="I167" s="27"/>
      <c r="J167" s="27"/>
      <c r="K167" s="76"/>
      <c r="L167" s="27"/>
      <c r="M167" s="27"/>
      <c r="N167" s="27"/>
      <c r="O167" s="27"/>
      <c r="P167" s="27">
        <f t="shared" si="26"/>
        <v>0</v>
      </c>
      <c r="Q167" s="76"/>
      <c r="R167" s="76"/>
      <c r="S167" s="27"/>
      <c r="T167" s="27"/>
      <c r="U167" s="27"/>
      <c r="V167" s="27"/>
      <c r="W167" s="27"/>
      <c r="X167" s="27"/>
      <c r="Y167" s="27">
        <f t="shared" si="27"/>
        <v>0</v>
      </c>
      <c r="Z167" s="77">
        <f t="shared" si="28"/>
        <v>0</v>
      </c>
      <c r="AA167" s="44">
        <v>100</v>
      </c>
      <c r="AB167" s="46"/>
    </row>
    <row r="168" spans="1:28" x14ac:dyDescent="0.3">
      <c r="A168" s="79">
        <v>45930</v>
      </c>
      <c r="B168" s="23">
        <v>45901</v>
      </c>
      <c r="C168" s="65" t="s">
        <v>34</v>
      </c>
      <c r="D168" s="39" t="s">
        <v>30</v>
      </c>
      <c r="E168" s="39"/>
      <c r="F168" s="27" t="s">
        <v>251</v>
      </c>
      <c r="G168" s="33" t="s">
        <v>252</v>
      </c>
      <c r="H168" s="27"/>
      <c r="I168" s="27"/>
      <c r="J168" s="27"/>
      <c r="K168" s="76"/>
      <c r="L168" s="27"/>
      <c r="M168" s="27"/>
      <c r="N168" s="27"/>
      <c r="O168" s="27"/>
      <c r="P168" s="27">
        <f t="shared" si="26"/>
        <v>0</v>
      </c>
      <c r="Q168" s="76"/>
      <c r="R168" s="76"/>
      <c r="S168" s="27"/>
      <c r="T168" s="27"/>
      <c r="U168" s="27"/>
      <c r="V168" s="27"/>
      <c r="W168" s="27"/>
      <c r="X168" s="27"/>
      <c r="Y168" s="27">
        <f t="shared" si="27"/>
        <v>0</v>
      </c>
      <c r="Z168" s="77">
        <f t="shared" si="28"/>
        <v>0</v>
      </c>
      <c r="AA168" s="44">
        <v>11656</v>
      </c>
      <c r="AB168" s="46"/>
    </row>
    <row r="169" spans="1:28" x14ac:dyDescent="0.3">
      <c r="A169" s="79">
        <v>45930</v>
      </c>
      <c r="B169" s="23">
        <v>45901</v>
      </c>
      <c r="C169" s="65" t="s">
        <v>34</v>
      </c>
      <c r="D169" s="39" t="s">
        <v>30</v>
      </c>
      <c r="E169" s="39"/>
      <c r="F169" s="27" t="s">
        <v>253</v>
      </c>
      <c r="G169" s="33" t="s">
        <v>254</v>
      </c>
      <c r="H169" s="27"/>
      <c r="I169" s="27"/>
      <c r="J169" s="27"/>
      <c r="K169" s="76"/>
      <c r="L169" s="27"/>
      <c r="M169" s="27"/>
      <c r="N169" s="27"/>
      <c r="O169" s="27"/>
      <c r="P169" s="27">
        <f t="shared" si="26"/>
        <v>0</v>
      </c>
      <c r="Q169" s="76"/>
      <c r="R169" s="76"/>
      <c r="S169" s="27"/>
      <c r="T169" s="27"/>
      <c r="U169" s="27"/>
      <c r="V169" s="27"/>
      <c r="W169" s="27"/>
      <c r="X169" s="27"/>
      <c r="Y169" s="27">
        <f t="shared" si="27"/>
        <v>0</v>
      </c>
      <c r="Z169" s="77">
        <f t="shared" si="28"/>
        <v>0</v>
      </c>
      <c r="AA169" s="44">
        <v>1209.8</v>
      </c>
      <c r="AB169" s="46"/>
    </row>
    <row r="170" spans="1:28" x14ac:dyDescent="0.3">
      <c r="A170" s="79">
        <v>45901</v>
      </c>
      <c r="B170" s="23">
        <v>45901</v>
      </c>
      <c r="C170" s="65" t="s">
        <v>109</v>
      </c>
      <c r="D170" s="39"/>
      <c r="E170" s="39"/>
      <c r="F170" s="27" t="s">
        <v>109</v>
      </c>
      <c r="G170" s="33"/>
      <c r="H170" s="27"/>
      <c r="I170" s="27"/>
      <c r="J170" s="27"/>
      <c r="K170" s="42"/>
      <c r="L170" s="27"/>
      <c r="M170" s="27"/>
      <c r="N170" s="27"/>
      <c r="O170" s="27"/>
      <c r="P170" s="27">
        <f t="shared" ref="P170:P190" si="29">(L170*M170)+(N170*O170)</f>
        <v>0</v>
      </c>
      <c r="Q170" s="42"/>
      <c r="R170" s="42"/>
      <c r="S170" s="27"/>
      <c r="T170" s="27"/>
      <c r="U170" s="27"/>
      <c r="V170" s="27"/>
      <c r="W170" s="27"/>
      <c r="X170" s="27"/>
      <c r="Y170" s="27">
        <f t="shared" ref="Y170:Y190" si="30">(S170*T170)+(W170*X170)+(U170*V170)</f>
        <v>0</v>
      </c>
      <c r="Z170" s="77">
        <f t="shared" ref="Z170:Z190" si="31">((P170*$AF$7)+(Y170*$AF$8/100)*$AG$7)</f>
        <v>0</v>
      </c>
      <c r="AA170" s="44"/>
      <c r="AB170" s="46"/>
    </row>
    <row r="171" spans="1:28" x14ac:dyDescent="0.3">
      <c r="A171" s="79">
        <v>45903</v>
      </c>
      <c r="B171" s="23">
        <v>45901</v>
      </c>
      <c r="C171" s="65" t="s">
        <v>109</v>
      </c>
      <c r="D171" s="39"/>
      <c r="E171" s="39"/>
      <c r="F171" s="27" t="s">
        <v>109</v>
      </c>
      <c r="G171" s="33"/>
      <c r="H171" s="27"/>
      <c r="I171" s="27"/>
      <c r="J171" s="27"/>
      <c r="K171" s="76"/>
      <c r="L171" s="27"/>
      <c r="M171" s="27"/>
      <c r="N171" s="27"/>
      <c r="O171" s="27"/>
      <c r="P171" s="27">
        <f t="shared" si="29"/>
        <v>0</v>
      </c>
      <c r="Q171" s="76"/>
      <c r="R171" s="76"/>
      <c r="S171" s="27"/>
      <c r="T171" s="27"/>
      <c r="U171" s="27"/>
      <c r="V171" s="27"/>
      <c r="W171" s="27"/>
      <c r="X171" s="27"/>
      <c r="Y171" s="27">
        <f t="shared" si="30"/>
        <v>0</v>
      </c>
      <c r="Z171" s="77">
        <f t="shared" si="31"/>
        <v>0</v>
      </c>
      <c r="AA171" s="44"/>
      <c r="AB171" s="46"/>
    </row>
    <row r="172" spans="1:28" x14ac:dyDescent="0.3">
      <c r="A172" s="79">
        <v>45904</v>
      </c>
      <c r="B172" s="23">
        <v>45901</v>
      </c>
      <c r="C172" s="65" t="s">
        <v>109</v>
      </c>
      <c r="D172" s="39"/>
      <c r="E172" s="39"/>
      <c r="F172" s="27" t="s">
        <v>109</v>
      </c>
      <c r="G172" s="33"/>
      <c r="H172" s="27"/>
      <c r="I172" s="27"/>
      <c r="J172" s="27"/>
      <c r="K172" s="76"/>
      <c r="L172" s="27"/>
      <c r="M172" s="27"/>
      <c r="N172" s="27"/>
      <c r="O172" s="27"/>
      <c r="P172" s="27">
        <f t="shared" si="29"/>
        <v>0</v>
      </c>
      <c r="Q172" s="76"/>
      <c r="R172" s="76"/>
      <c r="S172" s="27"/>
      <c r="T172" s="27"/>
      <c r="U172" s="27"/>
      <c r="V172" s="27"/>
      <c r="W172" s="27"/>
      <c r="X172" s="27"/>
      <c r="Y172" s="27">
        <f t="shared" si="30"/>
        <v>0</v>
      </c>
      <c r="Z172" s="77">
        <f t="shared" si="31"/>
        <v>0</v>
      </c>
      <c r="AA172" s="44"/>
      <c r="AB172" s="46"/>
    </row>
    <row r="173" spans="1:28" x14ac:dyDescent="0.3">
      <c r="A173" s="79">
        <v>45905</v>
      </c>
      <c r="B173" s="23">
        <v>45901</v>
      </c>
      <c r="C173" s="65" t="s">
        <v>109</v>
      </c>
      <c r="D173" s="39"/>
      <c r="E173" s="39"/>
      <c r="F173" s="27" t="s">
        <v>109</v>
      </c>
      <c r="G173" s="33"/>
      <c r="H173" s="27"/>
      <c r="I173" s="27"/>
      <c r="J173" s="27"/>
      <c r="K173" s="76"/>
      <c r="L173" s="27"/>
      <c r="M173" s="27"/>
      <c r="N173" s="27"/>
      <c r="O173" s="27"/>
      <c r="P173" s="27">
        <f t="shared" si="29"/>
        <v>0</v>
      </c>
      <c r="Q173" s="76"/>
      <c r="R173" s="76"/>
      <c r="S173" s="27"/>
      <c r="T173" s="27"/>
      <c r="U173" s="27"/>
      <c r="V173" s="27"/>
      <c r="W173" s="27"/>
      <c r="X173" s="27"/>
      <c r="Y173" s="27">
        <f t="shared" si="30"/>
        <v>0</v>
      </c>
      <c r="Z173" s="77">
        <f t="shared" si="31"/>
        <v>0</v>
      </c>
      <c r="AA173" s="44"/>
      <c r="AB173" s="46"/>
    </row>
    <row r="174" spans="1:28" x14ac:dyDescent="0.3">
      <c r="A174" s="79">
        <v>45906</v>
      </c>
      <c r="B174" s="23">
        <v>45901</v>
      </c>
      <c r="C174" s="65" t="s">
        <v>109</v>
      </c>
      <c r="D174" s="39"/>
      <c r="E174" s="39"/>
      <c r="F174" s="27" t="s">
        <v>109</v>
      </c>
      <c r="G174" s="33"/>
      <c r="H174" s="27"/>
      <c r="I174" s="27"/>
      <c r="J174" s="27"/>
      <c r="K174" s="76"/>
      <c r="L174" s="27"/>
      <c r="M174" s="27"/>
      <c r="N174" s="27"/>
      <c r="O174" s="27"/>
      <c r="P174" s="27">
        <f t="shared" si="29"/>
        <v>0</v>
      </c>
      <c r="Q174" s="76"/>
      <c r="R174" s="76"/>
      <c r="S174" s="27"/>
      <c r="T174" s="27"/>
      <c r="U174" s="27"/>
      <c r="V174" s="27"/>
      <c r="W174" s="27"/>
      <c r="X174" s="27"/>
      <c r="Y174" s="27">
        <f t="shared" si="30"/>
        <v>0</v>
      </c>
      <c r="Z174" s="77">
        <f t="shared" si="31"/>
        <v>0</v>
      </c>
      <c r="AA174" s="44"/>
      <c r="AB174" s="46"/>
    </row>
    <row r="175" spans="1:28" x14ac:dyDescent="0.3">
      <c r="A175" s="79">
        <v>45908</v>
      </c>
      <c r="B175" s="23">
        <v>45901</v>
      </c>
      <c r="C175" s="65" t="s">
        <v>109</v>
      </c>
      <c r="D175" s="39"/>
      <c r="E175" s="39"/>
      <c r="F175" s="27" t="s">
        <v>109</v>
      </c>
      <c r="G175" s="33"/>
      <c r="H175" s="27"/>
      <c r="I175" s="27"/>
      <c r="J175" s="27"/>
      <c r="K175" s="76"/>
      <c r="L175" s="27"/>
      <c r="M175" s="27"/>
      <c r="N175" s="27"/>
      <c r="O175" s="27"/>
      <c r="P175" s="27">
        <f t="shared" si="29"/>
        <v>0</v>
      </c>
      <c r="Q175" s="76"/>
      <c r="R175" s="76"/>
      <c r="S175" s="27"/>
      <c r="T175" s="27"/>
      <c r="U175" s="27"/>
      <c r="V175" s="27"/>
      <c r="W175" s="27"/>
      <c r="X175" s="27"/>
      <c r="Y175" s="27">
        <f t="shared" si="30"/>
        <v>0</v>
      </c>
      <c r="Z175" s="77">
        <f t="shared" si="31"/>
        <v>0</v>
      </c>
      <c r="AA175" s="44"/>
      <c r="AB175" s="46"/>
    </row>
    <row r="176" spans="1:28" x14ac:dyDescent="0.3">
      <c r="A176" s="79">
        <v>45910</v>
      </c>
      <c r="B176" s="23">
        <v>45901</v>
      </c>
      <c r="C176" s="65" t="s">
        <v>109</v>
      </c>
      <c r="D176" s="39"/>
      <c r="E176" s="39"/>
      <c r="F176" s="27" t="s">
        <v>109</v>
      </c>
      <c r="G176" s="33"/>
      <c r="H176" s="27"/>
      <c r="I176" s="27"/>
      <c r="J176" s="27"/>
      <c r="K176" s="76"/>
      <c r="L176" s="27"/>
      <c r="M176" s="27"/>
      <c r="N176" s="27"/>
      <c r="O176" s="27"/>
      <c r="P176" s="27">
        <f t="shared" si="29"/>
        <v>0</v>
      </c>
      <c r="Q176" s="76"/>
      <c r="R176" s="76"/>
      <c r="S176" s="27"/>
      <c r="T176" s="27"/>
      <c r="U176" s="27"/>
      <c r="V176" s="27"/>
      <c r="W176" s="27"/>
      <c r="X176" s="27"/>
      <c r="Y176" s="27">
        <f t="shared" si="30"/>
        <v>0</v>
      </c>
      <c r="Z176" s="77">
        <f t="shared" si="31"/>
        <v>0</v>
      </c>
      <c r="AA176" s="44"/>
      <c r="AB176" s="46"/>
    </row>
    <row r="177" spans="1:28" x14ac:dyDescent="0.3">
      <c r="A177" s="79">
        <v>45911</v>
      </c>
      <c r="B177" s="23">
        <v>45901</v>
      </c>
      <c r="C177" s="65" t="s">
        <v>109</v>
      </c>
      <c r="D177" s="39"/>
      <c r="E177" s="39"/>
      <c r="F177" s="27" t="s">
        <v>109</v>
      </c>
      <c r="G177" s="33"/>
      <c r="H177" s="27"/>
      <c r="I177" s="27"/>
      <c r="J177" s="27"/>
      <c r="K177" s="76"/>
      <c r="L177" s="27"/>
      <c r="M177" s="27"/>
      <c r="N177" s="27"/>
      <c r="O177" s="27"/>
      <c r="P177" s="27">
        <f t="shared" si="29"/>
        <v>0</v>
      </c>
      <c r="Q177" s="76"/>
      <c r="R177" s="76"/>
      <c r="S177" s="27"/>
      <c r="T177" s="27"/>
      <c r="U177" s="27"/>
      <c r="V177" s="27"/>
      <c r="W177" s="27"/>
      <c r="X177" s="27"/>
      <c r="Y177" s="27">
        <f t="shared" si="30"/>
        <v>0</v>
      </c>
      <c r="Z177" s="77">
        <f t="shared" si="31"/>
        <v>0</v>
      </c>
      <c r="AA177" s="44"/>
      <c r="AB177" s="46"/>
    </row>
    <row r="178" spans="1:28" x14ac:dyDescent="0.3">
      <c r="A178" s="79">
        <v>45912</v>
      </c>
      <c r="B178" s="23">
        <v>45901</v>
      </c>
      <c r="C178" s="65" t="s">
        <v>109</v>
      </c>
      <c r="D178" s="39"/>
      <c r="E178" s="39"/>
      <c r="F178" s="27" t="s">
        <v>109</v>
      </c>
      <c r="G178" s="33"/>
      <c r="H178" s="27"/>
      <c r="I178" s="27"/>
      <c r="J178" s="27"/>
      <c r="K178" s="76"/>
      <c r="L178" s="27"/>
      <c r="M178" s="27"/>
      <c r="N178" s="27"/>
      <c r="O178" s="27"/>
      <c r="P178" s="27">
        <f t="shared" si="29"/>
        <v>0</v>
      </c>
      <c r="Q178" s="76"/>
      <c r="R178" s="76"/>
      <c r="S178" s="27"/>
      <c r="T178" s="27"/>
      <c r="U178" s="27"/>
      <c r="V178" s="27"/>
      <c r="W178" s="27"/>
      <c r="X178" s="27"/>
      <c r="Y178" s="27">
        <f t="shared" si="30"/>
        <v>0</v>
      </c>
      <c r="Z178" s="77">
        <f t="shared" si="31"/>
        <v>0</v>
      </c>
      <c r="AA178" s="44"/>
      <c r="AB178" s="46"/>
    </row>
    <row r="179" spans="1:28" x14ac:dyDescent="0.3">
      <c r="A179" s="79">
        <v>45913</v>
      </c>
      <c r="B179" s="23">
        <v>45901</v>
      </c>
      <c r="C179" s="65" t="s">
        <v>109</v>
      </c>
      <c r="D179" s="39"/>
      <c r="E179" s="39"/>
      <c r="F179" s="27" t="s">
        <v>109</v>
      </c>
      <c r="G179" s="33"/>
      <c r="H179" s="27"/>
      <c r="I179" s="27"/>
      <c r="J179" s="27"/>
      <c r="K179" s="76"/>
      <c r="L179" s="27"/>
      <c r="M179" s="27"/>
      <c r="N179" s="27"/>
      <c r="O179" s="27"/>
      <c r="P179" s="27">
        <f t="shared" si="29"/>
        <v>0</v>
      </c>
      <c r="Q179" s="76"/>
      <c r="R179" s="76"/>
      <c r="S179" s="27"/>
      <c r="T179" s="27"/>
      <c r="U179" s="27"/>
      <c r="V179" s="27"/>
      <c r="W179" s="27"/>
      <c r="X179" s="27"/>
      <c r="Y179" s="27">
        <f t="shared" si="30"/>
        <v>0</v>
      </c>
      <c r="Z179" s="77">
        <f t="shared" si="31"/>
        <v>0</v>
      </c>
      <c r="AA179" s="44"/>
      <c r="AB179" s="46"/>
    </row>
    <row r="180" spans="1:28" x14ac:dyDescent="0.3">
      <c r="A180" s="79">
        <v>45915</v>
      </c>
      <c r="B180" s="23">
        <v>45901</v>
      </c>
      <c r="C180" s="65" t="s">
        <v>109</v>
      </c>
      <c r="D180" s="39"/>
      <c r="E180" s="39"/>
      <c r="F180" s="27" t="s">
        <v>109</v>
      </c>
      <c r="G180" s="33"/>
      <c r="H180" s="27"/>
      <c r="I180" s="27"/>
      <c r="J180" s="27"/>
      <c r="K180" s="76"/>
      <c r="L180" s="27"/>
      <c r="M180" s="27"/>
      <c r="N180" s="27"/>
      <c r="O180" s="27"/>
      <c r="P180" s="27">
        <f t="shared" si="29"/>
        <v>0</v>
      </c>
      <c r="Q180" s="76"/>
      <c r="R180" s="76"/>
      <c r="S180" s="27"/>
      <c r="T180" s="27"/>
      <c r="U180" s="27"/>
      <c r="V180" s="27"/>
      <c r="W180" s="27"/>
      <c r="X180" s="27"/>
      <c r="Y180" s="27">
        <f t="shared" si="30"/>
        <v>0</v>
      </c>
      <c r="Z180" s="77">
        <f t="shared" si="31"/>
        <v>0</v>
      </c>
      <c r="AA180" s="44"/>
      <c r="AB180" s="46"/>
    </row>
    <row r="181" spans="1:28" x14ac:dyDescent="0.3">
      <c r="A181" s="79">
        <v>45917</v>
      </c>
      <c r="B181" s="23">
        <v>45901</v>
      </c>
      <c r="C181" s="65" t="s">
        <v>109</v>
      </c>
      <c r="D181" s="39"/>
      <c r="E181" s="39"/>
      <c r="F181" s="27" t="s">
        <v>109</v>
      </c>
      <c r="G181" s="33"/>
      <c r="H181" s="27"/>
      <c r="I181" s="27"/>
      <c r="J181" s="27"/>
      <c r="K181" s="76"/>
      <c r="L181" s="27"/>
      <c r="M181" s="27"/>
      <c r="N181" s="27"/>
      <c r="O181" s="27"/>
      <c r="P181" s="27">
        <f t="shared" si="29"/>
        <v>0</v>
      </c>
      <c r="Q181" s="76"/>
      <c r="R181" s="76"/>
      <c r="S181" s="27"/>
      <c r="T181" s="27"/>
      <c r="U181" s="27"/>
      <c r="V181" s="27"/>
      <c r="W181" s="27"/>
      <c r="X181" s="27"/>
      <c r="Y181" s="27">
        <f t="shared" si="30"/>
        <v>0</v>
      </c>
      <c r="Z181" s="77">
        <f t="shared" si="31"/>
        <v>0</v>
      </c>
      <c r="AA181" s="44"/>
      <c r="AB181" s="46"/>
    </row>
    <row r="182" spans="1:28" x14ac:dyDescent="0.3">
      <c r="A182" s="79">
        <v>45918</v>
      </c>
      <c r="B182" s="23">
        <v>45901</v>
      </c>
      <c r="C182" s="65" t="s">
        <v>109</v>
      </c>
      <c r="D182" s="39"/>
      <c r="E182" s="39"/>
      <c r="F182" s="27" t="s">
        <v>109</v>
      </c>
      <c r="G182" s="33"/>
      <c r="H182" s="27"/>
      <c r="I182" s="27"/>
      <c r="J182" s="27"/>
      <c r="K182" s="76"/>
      <c r="L182" s="27"/>
      <c r="M182" s="27"/>
      <c r="N182" s="27"/>
      <c r="O182" s="27"/>
      <c r="P182" s="27">
        <f t="shared" si="29"/>
        <v>0</v>
      </c>
      <c r="Q182" s="76"/>
      <c r="R182" s="76"/>
      <c r="S182" s="27"/>
      <c r="T182" s="27"/>
      <c r="U182" s="27"/>
      <c r="V182" s="27"/>
      <c r="W182" s="27"/>
      <c r="X182" s="27"/>
      <c r="Y182" s="27">
        <f t="shared" si="30"/>
        <v>0</v>
      </c>
      <c r="Z182" s="77">
        <f t="shared" si="31"/>
        <v>0</v>
      </c>
      <c r="AA182" s="44"/>
      <c r="AB182" s="46"/>
    </row>
    <row r="183" spans="1:28" x14ac:dyDescent="0.3">
      <c r="A183" s="79">
        <v>45919</v>
      </c>
      <c r="B183" s="23">
        <v>45901</v>
      </c>
      <c r="C183" s="65" t="s">
        <v>109</v>
      </c>
      <c r="D183" s="39"/>
      <c r="E183" s="39"/>
      <c r="F183" s="27" t="s">
        <v>109</v>
      </c>
      <c r="G183" s="33"/>
      <c r="H183" s="27"/>
      <c r="I183" s="27"/>
      <c r="J183" s="27"/>
      <c r="K183" s="76"/>
      <c r="L183" s="27"/>
      <c r="M183" s="27"/>
      <c r="N183" s="27"/>
      <c r="O183" s="27"/>
      <c r="P183" s="27">
        <f t="shared" si="29"/>
        <v>0</v>
      </c>
      <c r="Q183" s="76"/>
      <c r="R183" s="76"/>
      <c r="S183" s="27"/>
      <c r="T183" s="27"/>
      <c r="U183" s="27"/>
      <c r="V183" s="27"/>
      <c r="W183" s="27"/>
      <c r="X183" s="27"/>
      <c r="Y183" s="27">
        <f t="shared" si="30"/>
        <v>0</v>
      </c>
      <c r="Z183" s="77">
        <f t="shared" si="31"/>
        <v>0</v>
      </c>
      <c r="AA183" s="44"/>
      <c r="AB183" s="46"/>
    </row>
    <row r="184" spans="1:28" x14ac:dyDescent="0.3">
      <c r="A184" s="79">
        <v>45920</v>
      </c>
      <c r="B184" s="23">
        <v>45901</v>
      </c>
      <c r="C184" s="65" t="s">
        <v>109</v>
      </c>
      <c r="D184" s="39"/>
      <c r="E184" s="39"/>
      <c r="F184" s="27" t="s">
        <v>109</v>
      </c>
      <c r="G184" s="33"/>
      <c r="H184" s="27"/>
      <c r="I184" s="27"/>
      <c r="J184" s="27"/>
      <c r="K184" s="76"/>
      <c r="L184" s="27"/>
      <c r="M184" s="27"/>
      <c r="N184" s="27"/>
      <c r="O184" s="27"/>
      <c r="P184" s="27">
        <f t="shared" si="29"/>
        <v>0</v>
      </c>
      <c r="Q184" s="76"/>
      <c r="R184" s="76"/>
      <c r="S184" s="27"/>
      <c r="T184" s="27"/>
      <c r="U184" s="27"/>
      <c r="V184" s="27"/>
      <c r="W184" s="27"/>
      <c r="X184" s="27"/>
      <c r="Y184" s="27">
        <f t="shared" si="30"/>
        <v>0</v>
      </c>
      <c r="Z184" s="77">
        <f t="shared" si="31"/>
        <v>0</v>
      </c>
      <c r="AA184" s="44"/>
      <c r="AB184" s="46"/>
    </row>
    <row r="185" spans="1:28" x14ac:dyDescent="0.3">
      <c r="A185" s="79">
        <v>45922</v>
      </c>
      <c r="B185" s="23">
        <v>45901</v>
      </c>
      <c r="C185" s="65" t="s">
        <v>109</v>
      </c>
      <c r="D185" s="39"/>
      <c r="E185" s="39"/>
      <c r="F185" s="27" t="s">
        <v>109</v>
      </c>
      <c r="G185" s="33"/>
      <c r="H185" s="27"/>
      <c r="I185" s="27"/>
      <c r="J185" s="27"/>
      <c r="K185" s="76"/>
      <c r="L185" s="27"/>
      <c r="M185" s="27"/>
      <c r="N185" s="27"/>
      <c r="O185" s="27"/>
      <c r="P185" s="27">
        <f t="shared" si="29"/>
        <v>0</v>
      </c>
      <c r="Q185" s="76"/>
      <c r="R185" s="76"/>
      <c r="S185" s="27"/>
      <c r="T185" s="27"/>
      <c r="U185" s="27"/>
      <c r="V185" s="27"/>
      <c r="W185" s="27"/>
      <c r="X185" s="27"/>
      <c r="Y185" s="27">
        <f t="shared" si="30"/>
        <v>0</v>
      </c>
      <c r="Z185" s="77">
        <f t="shared" si="31"/>
        <v>0</v>
      </c>
      <c r="AA185" s="44"/>
      <c r="AB185" s="46"/>
    </row>
    <row r="186" spans="1:28" x14ac:dyDescent="0.3">
      <c r="A186" s="79">
        <v>45924</v>
      </c>
      <c r="B186" s="23">
        <v>45901</v>
      </c>
      <c r="C186" s="65" t="s">
        <v>109</v>
      </c>
      <c r="D186" s="39"/>
      <c r="E186" s="39"/>
      <c r="F186" s="27" t="s">
        <v>109</v>
      </c>
      <c r="G186" s="33"/>
      <c r="H186" s="27"/>
      <c r="I186" s="27"/>
      <c r="J186" s="27"/>
      <c r="K186" s="76"/>
      <c r="L186" s="27"/>
      <c r="M186" s="27"/>
      <c r="N186" s="27"/>
      <c r="O186" s="27"/>
      <c r="P186" s="27">
        <f t="shared" si="29"/>
        <v>0</v>
      </c>
      <c r="Q186" s="76"/>
      <c r="R186" s="76"/>
      <c r="S186" s="27"/>
      <c r="T186" s="27"/>
      <c r="U186" s="27"/>
      <c r="V186" s="27"/>
      <c r="W186" s="27"/>
      <c r="X186" s="27"/>
      <c r="Y186" s="27">
        <f t="shared" si="30"/>
        <v>0</v>
      </c>
      <c r="Z186" s="77">
        <f t="shared" si="31"/>
        <v>0</v>
      </c>
      <c r="AA186" s="44"/>
      <c r="AB186" s="46"/>
    </row>
    <row r="187" spans="1:28" x14ac:dyDescent="0.3">
      <c r="A187" s="79">
        <v>45925</v>
      </c>
      <c r="B187" s="23">
        <v>45901</v>
      </c>
      <c r="C187" s="65" t="s">
        <v>109</v>
      </c>
      <c r="D187" s="39"/>
      <c r="E187" s="39"/>
      <c r="F187" s="27" t="s">
        <v>109</v>
      </c>
      <c r="G187" s="33"/>
      <c r="H187" s="27"/>
      <c r="I187" s="27"/>
      <c r="J187" s="27"/>
      <c r="K187" s="76"/>
      <c r="L187" s="27"/>
      <c r="M187" s="27"/>
      <c r="N187" s="27"/>
      <c r="O187" s="27"/>
      <c r="P187" s="27">
        <f t="shared" si="29"/>
        <v>0</v>
      </c>
      <c r="Q187" s="76"/>
      <c r="R187" s="76"/>
      <c r="S187" s="27"/>
      <c r="T187" s="27"/>
      <c r="U187" s="27"/>
      <c r="V187" s="27"/>
      <c r="W187" s="27"/>
      <c r="X187" s="27"/>
      <c r="Y187" s="27">
        <f t="shared" si="30"/>
        <v>0</v>
      </c>
      <c r="Z187" s="77">
        <f t="shared" si="31"/>
        <v>0</v>
      </c>
      <c r="AA187" s="44"/>
      <c r="AB187" s="46"/>
    </row>
    <row r="188" spans="1:28" x14ac:dyDescent="0.3">
      <c r="A188" s="79">
        <v>45926</v>
      </c>
      <c r="B188" s="23">
        <v>45901</v>
      </c>
      <c r="C188" s="65" t="s">
        <v>109</v>
      </c>
      <c r="D188" s="39"/>
      <c r="E188" s="39"/>
      <c r="F188" s="27" t="s">
        <v>109</v>
      </c>
      <c r="G188" s="33"/>
      <c r="H188" s="27"/>
      <c r="I188" s="27"/>
      <c r="J188" s="27"/>
      <c r="K188" s="76"/>
      <c r="L188" s="27"/>
      <c r="M188" s="27"/>
      <c r="N188" s="27"/>
      <c r="O188" s="27"/>
      <c r="P188" s="27">
        <f t="shared" si="29"/>
        <v>0</v>
      </c>
      <c r="Q188" s="76"/>
      <c r="R188" s="76"/>
      <c r="S188" s="27"/>
      <c r="T188" s="27"/>
      <c r="U188" s="27"/>
      <c r="V188" s="27"/>
      <c r="W188" s="27"/>
      <c r="X188" s="27"/>
      <c r="Y188" s="27">
        <f t="shared" si="30"/>
        <v>0</v>
      </c>
      <c r="Z188" s="77">
        <f t="shared" si="31"/>
        <v>0</v>
      </c>
      <c r="AA188" s="44"/>
      <c r="AB188" s="46"/>
    </row>
    <row r="189" spans="1:28" x14ac:dyDescent="0.3">
      <c r="A189" s="79">
        <v>45927</v>
      </c>
      <c r="B189" s="23">
        <v>45901</v>
      </c>
      <c r="C189" s="65" t="s">
        <v>109</v>
      </c>
      <c r="D189" s="39"/>
      <c r="E189" s="39"/>
      <c r="F189" s="27" t="s">
        <v>109</v>
      </c>
      <c r="G189" s="33"/>
      <c r="H189" s="27"/>
      <c r="I189" s="27"/>
      <c r="J189" s="27"/>
      <c r="K189" s="76"/>
      <c r="L189" s="27"/>
      <c r="M189" s="27"/>
      <c r="N189" s="27"/>
      <c r="O189" s="27"/>
      <c r="P189" s="27">
        <f t="shared" si="29"/>
        <v>0</v>
      </c>
      <c r="Q189" s="76"/>
      <c r="R189" s="76"/>
      <c r="S189" s="27"/>
      <c r="T189" s="27"/>
      <c r="U189" s="27"/>
      <c r="V189" s="27"/>
      <c r="W189" s="27"/>
      <c r="X189" s="27"/>
      <c r="Y189" s="27">
        <f t="shared" si="30"/>
        <v>0</v>
      </c>
      <c r="Z189" s="77">
        <f t="shared" si="31"/>
        <v>0</v>
      </c>
      <c r="AA189" s="44"/>
      <c r="AB189" s="46"/>
    </row>
    <row r="190" spans="1:28" x14ac:dyDescent="0.3">
      <c r="A190" s="79">
        <v>45929</v>
      </c>
      <c r="B190" s="23">
        <v>45901</v>
      </c>
      <c r="C190" s="65" t="s">
        <v>109</v>
      </c>
      <c r="D190" s="39"/>
      <c r="E190" s="39"/>
      <c r="F190" s="27" t="s">
        <v>109</v>
      </c>
      <c r="G190" s="33"/>
      <c r="H190" s="27"/>
      <c r="I190" s="27"/>
      <c r="J190" s="27"/>
      <c r="K190" s="76"/>
      <c r="L190" s="27"/>
      <c r="M190" s="27"/>
      <c r="N190" s="27"/>
      <c r="O190" s="27"/>
      <c r="P190" s="27">
        <f t="shared" si="29"/>
        <v>0</v>
      </c>
      <c r="Q190" s="76"/>
      <c r="R190" s="76"/>
      <c r="S190" s="27"/>
      <c r="T190" s="27"/>
      <c r="U190" s="27"/>
      <c r="V190" s="27"/>
      <c r="W190" s="27"/>
      <c r="X190" s="27"/>
      <c r="Y190" s="27">
        <f t="shared" si="30"/>
        <v>0</v>
      </c>
      <c r="Z190" s="77">
        <f t="shared" si="31"/>
        <v>0</v>
      </c>
      <c r="AA190" s="44"/>
      <c r="AB190" s="46"/>
    </row>
    <row r="191" spans="1:28" x14ac:dyDescent="0.3">
      <c r="A191" s="79">
        <v>45902</v>
      </c>
      <c r="B191" s="23">
        <v>45901</v>
      </c>
      <c r="C191" s="65" t="s">
        <v>110</v>
      </c>
      <c r="D191" s="39"/>
      <c r="E191" s="39"/>
      <c r="F191" s="65" t="s">
        <v>110</v>
      </c>
      <c r="G191" s="33"/>
      <c r="H191" s="27"/>
      <c r="I191" s="27"/>
      <c r="J191" s="27"/>
      <c r="K191" s="42"/>
      <c r="L191" s="27"/>
      <c r="M191" s="27"/>
      <c r="N191" s="27"/>
      <c r="O191" s="27"/>
      <c r="P191" s="27">
        <f t="shared" ref="P191:P207" si="32">(L191*M191)+(N191*O191)</f>
        <v>0</v>
      </c>
      <c r="Q191" s="42"/>
      <c r="R191" s="42"/>
      <c r="S191" s="27"/>
      <c r="T191" s="27"/>
      <c r="U191" s="27"/>
      <c r="V191" s="27"/>
      <c r="W191" s="27"/>
      <c r="X191" s="27"/>
      <c r="Y191" s="27">
        <f t="shared" ref="Y191:Y207" si="33">(S191*T191)+(W191*X191)+(U191*V191)</f>
        <v>0</v>
      </c>
      <c r="Z191" s="77">
        <f t="shared" ref="Z191:Z207" si="34">((P191*$AF$7)+(Y191*$AF$8/100)*$AG$7)</f>
        <v>0</v>
      </c>
      <c r="AA191" s="44"/>
      <c r="AB191" s="46"/>
    </row>
    <row r="192" spans="1:28" x14ac:dyDescent="0.3">
      <c r="A192" s="79">
        <v>45903</v>
      </c>
      <c r="B192" s="23">
        <v>45901</v>
      </c>
      <c r="C192" s="65" t="s">
        <v>110</v>
      </c>
      <c r="D192" s="39"/>
      <c r="E192" s="39"/>
      <c r="F192" s="27" t="s">
        <v>110</v>
      </c>
      <c r="G192" s="33"/>
      <c r="H192" s="27"/>
      <c r="I192" s="27"/>
      <c r="J192" s="27"/>
      <c r="K192" s="76"/>
      <c r="L192" s="27"/>
      <c r="M192" s="27"/>
      <c r="N192" s="27"/>
      <c r="O192" s="27"/>
      <c r="P192" s="27">
        <f t="shared" si="32"/>
        <v>0</v>
      </c>
      <c r="Q192" s="76"/>
      <c r="R192" s="76"/>
      <c r="S192" s="27"/>
      <c r="T192" s="27"/>
      <c r="U192" s="27"/>
      <c r="V192" s="27"/>
      <c r="W192" s="27"/>
      <c r="X192" s="27"/>
      <c r="Y192" s="27">
        <f t="shared" si="33"/>
        <v>0</v>
      </c>
      <c r="Z192" s="77">
        <f t="shared" si="34"/>
        <v>0</v>
      </c>
      <c r="AA192" s="44"/>
      <c r="AB192" s="46"/>
    </row>
    <row r="193" spans="1:28" x14ac:dyDescent="0.3">
      <c r="A193" s="79">
        <v>45904</v>
      </c>
      <c r="B193" s="23">
        <v>45901</v>
      </c>
      <c r="C193" s="65" t="s">
        <v>110</v>
      </c>
      <c r="D193" s="39"/>
      <c r="E193" s="39"/>
      <c r="F193" s="27" t="s">
        <v>110</v>
      </c>
      <c r="G193" s="33"/>
      <c r="H193" s="27"/>
      <c r="I193" s="27"/>
      <c r="J193" s="27"/>
      <c r="K193" s="76"/>
      <c r="L193" s="27"/>
      <c r="M193" s="27"/>
      <c r="N193" s="27"/>
      <c r="O193" s="27"/>
      <c r="P193" s="27">
        <f t="shared" si="32"/>
        <v>0</v>
      </c>
      <c r="Q193" s="76"/>
      <c r="R193" s="76"/>
      <c r="S193" s="27"/>
      <c r="T193" s="27"/>
      <c r="U193" s="27"/>
      <c r="V193" s="27"/>
      <c r="W193" s="27"/>
      <c r="X193" s="27"/>
      <c r="Y193" s="27">
        <f t="shared" si="33"/>
        <v>0</v>
      </c>
      <c r="Z193" s="77">
        <f t="shared" si="34"/>
        <v>0</v>
      </c>
      <c r="AA193" s="44"/>
      <c r="AB193" s="46"/>
    </row>
    <row r="194" spans="1:28" x14ac:dyDescent="0.3">
      <c r="A194" s="79">
        <v>45905</v>
      </c>
      <c r="B194" s="23">
        <v>45901</v>
      </c>
      <c r="C194" s="65" t="s">
        <v>110</v>
      </c>
      <c r="D194" s="39"/>
      <c r="E194" s="39"/>
      <c r="F194" s="27" t="s">
        <v>110</v>
      </c>
      <c r="G194" s="33"/>
      <c r="H194" s="27"/>
      <c r="I194" s="27"/>
      <c r="J194" s="27"/>
      <c r="K194" s="76"/>
      <c r="L194" s="27"/>
      <c r="M194" s="27"/>
      <c r="N194" s="27"/>
      <c r="O194" s="27"/>
      <c r="P194" s="27">
        <f t="shared" si="32"/>
        <v>0</v>
      </c>
      <c r="Q194" s="76"/>
      <c r="R194" s="76"/>
      <c r="S194" s="27"/>
      <c r="T194" s="27"/>
      <c r="U194" s="27"/>
      <c r="V194" s="27"/>
      <c r="W194" s="27"/>
      <c r="X194" s="27"/>
      <c r="Y194" s="27">
        <f t="shared" si="33"/>
        <v>0</v>
      </c>
      <c r="Z194" s="77">
        <f t="shared" si="34"/>
        <v>0</v>
      </c>
      <c r="AA194" s="44"/>
      <c r="AB194" s="46"/>
    </row>
    <row r="195" spans="1:28" x14ac:dyDescent="0.3">
      <c r="A195" s="79">
        <v>45909</v>
      </c>
      <c r="B195" s="23">
        <v>45901</v>
      </c>
      <c r="C195" s="65" t="s">
        <v>110</v>
      </c>
      <c r="D195" s="39"/>
      <c r="E195" s="39"/>
      <c r="F195" s="27" t="s">
        <v>110</v>
      </c>
      <c r="G195" s="33"/>
      <c r="H195" s="27"/>
      <c r="I195" s="27"/>
      <c r="J195" s="27"/>
      <c r="K195" s="76"/>
      <c r="L195" s="27"/>
      <c r="M195" s="27"/>
      <c r="N195" s="27"/>
      <c r="O195" s="27"/>
      <c r="P195" s="27">
        <f t="shared" si="32"/>
        <v>0</v>
      </c>
      <c r="Q195" s="76"/>
      <c r="R195" s="76"/>
      <c r="S195" s="27"/>
      <c r="T195" s="27"/>
      <c r="U195" s="27"/>
      <c r="V195" s="27"/>
      <c r="W195" s="27"/>
      <c r="X195" s="27"/>
      <c r="Y195" s="27">
        <f t="shared" si="33"/>
        <v>0</v>
      </c>
      <c r="Z195" s="77">
        <f t="shared" si="34"/>
        <v>0</v>
      </c>
      <c r="AA195" s="44"/>
      <c r="AB195" s="46"/>
    </row>
    <row r="196" spans="1:28" x14ac:dyDescent="0.3">
      <c r="A196" s="79">
        <v>45910</v>
      </c>
      <c r="B196" s="23">
        <v>45901</v>
      </c>
      <c r="C196" s="65" t="s">
        <v>110</v>
      </c>
      <c r="D196" s="39"/>
      <c r="E196" s="39"/>
      <c r="F196" s="27" t="s">
        <v>110</v>
      </c>
      <c r="G196" s="33"/>
      <c r="H196" s="27"/>
      <c r="I196" s="27"/>
      <c r="J196" s="27"/>
      <c r="K196" s="76"/>
      <c r="L196" s="27"/>
      <c r="M196" s="27"/>
      <c r="N196" s="27"/>
      <c r="O196" s="27"/>
      <c r="P196" s="27">
        <f t="shared" si="32"/>
        <v>0</v>
      </c>
      <c r="Q196" s="76"/>
      <c r="R196" s="76"/>
      <c r="S196" s="27"/>
      <c r="T196" s="27"/>
      <c r="U196" s="27"/>
      <c r="V196" s="27"/>
      <c r="W196" s="27"/>
      <c r="X196" s="27"/>
      <c r="Y196" s="27">
        <f t="shared" si="33"/>
        <v>0</v>
      </c>
      <c r="Z196" s="77">
        <f t="shared" si="34"/>
        <v>0</v>
      </c>
      <c r="AA196" s="44"/>
      <c r="AB196" s="46"/>
    </row>
    <row r="197" spans="1:28" x14ac:dyDescent="0.3">
      <c r="A197" s="79">
        <v>45911</v>
      </c>
      <c r="B197" s="23">
        <v>45901</v>
      </c>
      <c r="C197" s="65" t="s">
        <v>110</v>
      </c>
      <c r="D197" s="39"/>
      <c r="E197" s="39"/>
      <c r="F197" s="27" t="s">
        <v>110</v>
      </c>
      <c r="G197" s="33"/>
      <c r="H197" s="27"/>
      <c r="I197" s="27"/>
      <c r="J197" s="27"/>
      <c r="K197" s="76"/>
      <c r="L197" s="27"/>
      <c r="M197" s="27"/>
      <c r="N197" s="27"/>
      <c r="O197" s="27"/>
      <c r="P197" s="27">
        <f t="shared" si="32"/>
        <v>0</v>
      </c>
      <c r="Q197" s="76"/>
      <c r="R197" s="76"/>
      <c r="S197" s="27"/>
      <c r="T197" s="27"/>
      <c r="U197" s="27"/>
      <c r="V197" s="27"/>
      <c r="W197" s="27"/>
      <c r="X197" s="27"/>
      <c r="Y197" s="27">
        <f t="shared" si="33"/>
        <v>0</v>
      </c>
      <c r="Z197" s="77">
        <f t="shared" si="34"/>
        <v>0</v>
      </c>
      <c r="AA197" s="44"/>
      <c r="AB197" s="46"/>
    </row>
    <row r="198" spans="1:28" x14ac:dyDescent="0.3">
      <c r="A198" s="79">
        <v>45912</v>
      </c>
      <c r="B198" s="23">
        <v>45901</v>
      </c>
      <c r="C198" s="65" t="s">
        <v>110</v>
      </c>
      <c r="D198" s="39"/>
      <c r="E198" s="39"/>
      <c r="F198" s="27" t="s">
        <v>110</v>
      </c>
      <c r="G198" s="33"/>
      <c r="H198" s="27"/>
      <c r="I198" s="27"/>
      <c r="J198" s="27"/>
      <c r="K198" s="76"/>
      <c r="L198" s="27"/>
      <c r="M198" s="27"/>
      <c r="N198" s="27"/>
      <c r="O198" s="27"/>
      <c r="P198" s="27">
        <f t="shared" si="32"/>
        <v>0</v>
      </c>
      <c r="Q198" s="76"/>
      <c r="R198" s="76"/>
      <c r="S198" s="27"/>
      <c r="T198" s="27"/>
      <c r="U198" s="27"/>
      <c r="V198" s="27"/>
      <c r="W198" s="27"/>
      <c r="X198" s="27"/>
      <c r="Y198" s="27">
        <f t="shared" si="33"/>
        <v>0</v>
      </c>
      <c r="Z198" s="77">
        <f t="shared" si="34"/>
        <v>0</v>
      </c>
      <c r="AA198" s="44"/>
      <c r="AB198" s="46"/>
    </row>
    <row r="199" spans="1:28" x14ac:dyDescent="0.3">
      <c r="A199" s="79">
        <v>45916</v>
      </c>
      <c r="B199" s="23">
        <v>45901</v>
      </c>
      <c r="C199" s="65" t="s">
        <v>110</v>
      </c>
      <c r="D199" s="39"/>
      <c r="E199" s="39"/>
      <c r="F199" s="27" t="s">
        <v>110</v>
      </c>
      <c r="G199" s="33"/>
      <c r="H199" s="27"/>
      <c r="I199" s="27"/>
      <c r="J199" s="27"/>
      <c r="K199" s="76"/>
      <c r="L199" s="27"/>
      <c r="M199" s="27"/>
      <c r="N199" s="27"/>
      <c r="O199" s="27"/>
      <c r="P199" s="27">
        <f t="shared" si="32"/>
        <v>0</v>
      </c>
      <c r="Q199" s="76"/>
      <c r="R199" s="76"/>
      <c r="S199" s="27"/>
      <c r="T199" s="27"/>
      <c r="U199" s="27"/>
      <c r="V199" s="27"/>
      <c r="W199" s="27"/>
      <c r="X199" s="27"/>
      <c r="Y199" s="27">
        <f t="shared" si="33"/>
        <v>0</v>
      </c>
      <c r="Z199" s="77">
        <f t="shared" si="34"/>
        <v>0</v>
      </c>
      <c r="AA199" s="44"/>
      <c r="AB199" s="46"/>
    </row>
    <row r="200" spans="1:28" x14ac:dyDescent="0.3">
      <c r="A200" s="79">
        <v>45917</v>
      </c>
      <c r="B200" s="23">
        <v>45901</v>
      </c>
      <c r="C200" s="65" t="s">
        <v>110</v>
      </c>
      <c r="D200" s="39"/>
      <c r="E200" s="39"/>
      <c r="F200" s="27" t="s">
        <v>110</v>
      </c>
      <c r="G200" s="33"/>
      <c r="H200" s="27"/>
      <c r="I200" s="27"/>
      <c r="J200" s="27"/>
      <c r="K200" s="76"/>
      <c r="L200" s="27"/>
      <c r="M200" s="27"/>
      <c r="N200" s="27"/>
      <c r="O200" s="27"/>
      <c r="P200" s="27">
        <f t="shared" si="32"/>
        <v>0</v>
      </c>
      <c r="Q200" s="76"/>
      <c r="R200" s="76"/>
      <c r="S200" s="27"/>
      <c r="T200" s="27"/>
      <c r="U200" s="27"/>
      <c r="V200" s="27"/>
      <c r="W200" s="27"/>
      <c r="X200" s="27"/>
      <c r="Y200" s="27">
        <f t="shared" si="33"/>
        <v>0</v>
      </c>
      <c r="Z200" s="77">
        <f t="shared" si="34"/>
        <v>0</v>
      </c>
      <c r="AA200" s="44"/>
      <c r="AB200" s="46"/>
    </row>
    <row r="201" spans="1:28" x14ac:dyDescent="0.3">
      <c r="A201" s="79">
        <v>45918</v>
      </c>
      <c r="B201" s="23">
        <v>45901</v>
      </c>
      <c r="C201" s="65" t="s">
        <v>110</v>
      </c>
      <c r="D201" s="39"/>
      <c r="E201" s="39"/>
      <c r="F201" s="27" t="s">
        <v>110</v>
      </c>
      <c r="G201" s="33"/>
      <c r="H201" s="27"/>
      <c r="I201" s="27"/>
      <c r="J201" s="27"/>
      <c r="K201" s="76"/>
      <c r="L201" s="27"/>
      <c r="M201" s="27"/>
      <c r="N201" s="27"/>
      <c r="O201" s="27"/>
      <c r="P201" s="27">
        <f t="shared" si="32"/>
        <v>0</v>
      </c>
      <c r="Q201" s="76"/>
      <c r="R201" s="76"/>
      <c r="S201" s="27"/>
      <c r="T201" s="27"/>
      <c r="U201" s="27"/>
      <c r="V201" s="27"/>
      <c r="W201" s="27"/>
      <c r="X201" s="27"/>
      <c r="Y201" s="27">
        <f t="shared" si="33"/>
        <v>0</v>
      </c>
      <c r="Z201" s="77">
        <f t="shared" si="34"/>
        <v>0</v>
      </c>
      <c r="AA201" s="44"/>
      <c r="AB201" s="46"/>
    </row>
    <row r="202" spans="1:28" x14ac:dyDescent="0.3">
      <c r="A202" s="79">
        <v>45919</v>
      </c>
      <c r="B202" s="23">
        <v>45901</v>
      </c>
      <c r="C202" s="65" t="s">
        <v>110</v>
      </c>
      <c r="D202" s="39"/>
      <c r="E202" s="39"/>
      <c r="F202" s="27" t="s">
        <v>110</v>
      </c>
      <c r="G202" s="33"/>
      <c r="H202" s="27"/>
      <c r="I202" s="27"/>
      <c r="J202" s="27"/>
      <c r="K202" s="76"/>
      <c r="L202" s="27"/>
      <c r="M202" s="27"/>
      <c r="N202" s="27"/>
      <c r="O202" s="27"/>
      <c r="P202" s="27">
        <f t="shared" si="32"/>
        <v>0</v>
      </c>
      <c r="Q202" s="76"/>
      <c r="R202" s="76"/>
      <c r="S202" s="27"/>
      <c r="T202" s="27"/>
      <c r="U202" s="27"/>
      <c r="V202" s="27"/>
      <c r="W202" s="27"/>
      <c r="X202" s="27"/>
      <c r="Y202" s="27">
        <f t="shared" si="33"/>
        <v>0</v>
      </c>
      <c r="Z202" s="77">
        <f t="shared" si="34"/>
        <v>0</v>
      </c>
      <c r="AA202" s="44"/>
      <c r="AB202" s="46"/>
    </row>
    <row r="203" spans="1:28" x14ac:dyDescent="0.3">
      <c r="A203" s="79">
        <v>45923</v>
      </c>
      <c r="B203" s="23">
        <v>45901</v>
      </c>
      <c r="C203" s="65" t="s">
        <v>110</v>
      </c>
      <c r="D203" s="39"/>
      <c r="E203" s="39"/>
      <c r="F203" s="27" t="s">
        <v>110</v>
      </c>
      <c r="G203" s="33"/>
      <c r="H203" s="27"/>
      <c r="I203" s="27"/>
      <c r="J203" s="27"/>
      <c r="K203" s="76"/>
      <c r="L203" s="27"/>
      <c r="M203" s="27"/>
      <c r="N203" s="27"/>
      <c r="O203" s="27"/>
      <c r="P203" s="27">
        <f t="shared" si="32"/>
        <v>0</v>
      </c>
      <c r="Q203" s="76"/>
      <c r="R203" s="76"/>
      <c r="S203" s="27"/>
      <c r="T203" s="27"/>
      <c r="U203" s="27"/>
      <c r="V203" s="27"/>
      <c r="W203" s="27"/>
      <c r="X203" s="27"/>
      <c r="Y203" s="27">
        <f t="shared" si="33"/>
        <v>0</v>
      </c>
      <c r="Z203" s="77">
        <f t="shared" si="34"/>
        <v>0</v>
      </c>
      <c r="AA203" s="44"/>
      <c r="AB203" s="46"/>
    </row>
    <row r="204" spans="1:28" x14ac:dyDescent="0.3">
      <c r="A204" s="79">
        <v>45924</v>
      </c>
      <c r="B204" s="23">
        <v>45901</v>
      </c>
      <c r="C204" s="65" t="s">
        <v>110</v>
      </c>
      <c r="D204" s="39"/>
      <c r="E204" s="39"/>
      <c r="F204" s="27" t="s">
        <v>110</v>
      </c>
      <c r="G204" s="33"/>
      <c r="H204" s="27"/>
      <c r="I204" s="27"/>
      <c r="J204" s="27"/>
      <c r="K204" s="76"/>
      <c r="L204" s="27"/>
      <c r="M204" s="27"/>
      <c r="N204" s="27"/>
      <c r="O204" s="27"/>
      <c r="P204" s="27">
        <f t="shared" si="32"/>
        <v>0</v>
      </c>
      <c r="Q204" s="76"/>
      <c r="R204" s="76"/>
      <c r="S204" s="27"/>
      <c r="T204" s="27"/>
      <c r="U204" s="27"/>
      <c r="V204" s="27"/>
      <c r="W204" s="27"/>
      <c r="X204" s="27"/>
      <c r="Y204" s="27">
        <f t="shared" si="33"/>
        <v>0</v>
      </c>
      <c r="Z204" s="77">
        <f t="shared" si="34"/>
        <v>0</v>
      </c>
      <c r="AA204" s="44"/>
      <c r="AB204" s="46"/>
    </row>
    <row r="205" spans="1:28" x14ac:dyDescent="0.3">
      <c r="A205" s="79">
        <v>45925</v>
      </c>
      <c r="B205" s="23">
        <v>45901</v>
      </c>
      <c r="C205" s="65" t="s">
        <v>110</v>
      </c>
      <c r="D205" s="39"/>
      <c r="E205" s="39"/>
      <c r="F205" s="27" t="s">
        <v>110</v>
      </c>
      <c r="G205" s="33"/>
      <c r="H205" s="27"/>
      <c r="I205" s="27"/>
      <c r="J205" s="27"/>
      <c r="K205" s="76"/>
      <c r="L205" s="27"/>
      <c r="M205" s="27"/>
      <c r="N205" s="27"/>
      <c r="O205" s="27"/>
      <c r="P205" s="27">
        <f t="shared" si="32"/>
        <v>0</v>
      </c>
      <c r="Q205" s="76"/>
      <c r="R205" s="76"/>
      <c r="S205" s="27"/>
      <c r="T205" s="27"/>
      <c r="U205" s="27"/>
      <c r="V205" s="27"/>
      <c r="W205" s="27"/>
      <c r="X205" s="27"/>
      <c r="Y205" s="27">
        <f t="shared" si="33"/>
        <v>0</v>
      </c>
      <c r="Z205" s="77">
        <f t="shared" si="34"/>
        <v>0</v>
      </c>
      <c r="AA205" s="44"/>
      <c r="AB205" s="46"/>
    </row>
    <row r="206" spans="1:28" x14ac:dyDescent="0.3">
      <c r="A206" s="79">
        <v>45926</v>
      </c>
      <c r="B206" s="23">
        <v>45901</v>
      </c>
      <c r="C206" s="65" t="s">
        <v>110</v>
      </c>
      <c r="D206" s="39"/>
      <c r="E206" s="39"/>
      <c r="F206" s="27" t="s">
        <v>110</v>
      </c>
      <c r="G206" s="33"/>
      <c r="H206" s="27"/>
      <c r="I206" s="27"/>
      <c r="J206" s="27"/>
      <c r="K206" s="76"/>
      <c r="L206" s="27"/>
      <c r="M206" s="27"/>
      <c r="N206" s="27"/>
      <c r="O206" s="27"/>
      <c r="P206" s="27">
        <f t="shared" si="32"/>
        <v>0</v>
      </c>
      <c r="Q206" s="76"/>
      <c r="R206" s="76"/>
      <c r="S206" s="27"/>
      <c r="T206" s="27"/>
      <c r="U206" s="27"/>
      <c r="V206" s="27"/>
      <c r="W206" s="27"/>
      <c r="X206" s="27"/>
      <c r="Y206" s="27">
        <f t="shared" si="33"/>
        <v>0</v>
      </c>
      <c r="Z206" s="77">
        <f t="shared" si="34"/>
        <v>0</v>
      </c>
      <c r="AA206" s="44"/>
      <c r="AB206" s="46"/>
    </row>
    <row r="207" spans="1:28" x14ac:dyDescent="0.3">
      <c r="A207" s="79">
        <v>45930</v>
      </c>
      <c r="B207" s="23">
        <v>45901</v>
      </c>
      <c r="C207" s="65" t="s">
        <v>110</v>
      </c>
      <c r="D207" s="39"/>
      <c r="E207" s="39"/>
      <c r="F207" s="27" t="s">
        <v>110</v>
      </c>
      <c r="G207" s="33"/>
      <c r="H207" s="27"/>
      <c r="I207" s="27"/>
      <c r="J207" s="27"/>
      <c r="K207" s="76"/>
      <c r="L207" s="27"/>
      <c r="M207" s="27"/>
      <c r="N207" s="27"/>
      <c r="O207" s="27"/>
      <c r="P207" s="27">
        <f t="shared" si="32"/>
        <v>0</v>
      </c>
      <c r="Q207" s="76"/>
      <c r="R207" s="76"/>
      <c r="S207" s="27"/>
      <c r="T207" s="27"/>
      <c r="U207" s="27"/>
      <c r="V207" s="27"/>
      <c r="W207" s="27"/>
      <c r="X207" s="27"/>
      <c r="Y207" s="27">
        <f t="shared" si="33"/>
        <v>0</v>
      </c>
      <c r="Z207" s="77">
        <f t="shared" si="34"/>
        <v>0</v>
      </c>
      <c r="AA207" s="44"/>
      <c r="AB207" s="46"/>
    </row>
    <row r="208" spans="1:28" x14ac:dyDescent="0.3">
      <c r="A208" s="79">
        <v>45931</v>
      </c>
      <c r="B208" s="23">
        <v>45931</v>
      </c>
      <c r="C208" s="65" t="s">
        <v>34</v>
      </c>
      <c r="D208" s="39"/>
      <c r="E208" s="39"/>
      <c r="F208" s="27" t="s">
        <v>101</v>
      </c>
      <c r="G208" s="33" t="s">
        <v>255</v>
      </c>
      <c r="H208" s="27"/>
      <c r="I208" s="27"/>
      <c r="J208" s="27"/>
      <c r="K208" s="76"/>
      <c r="L208" s="27"/>
      <c r="M208" s="27"/>
      <c r="N208" s="27"/>
      <c r="O208" s="27"/>
      <c r="P208" s="27">
        <f t="shared" si="26"/>
        <v>0</v>
      </c>
      <c r="Q208" s="76"/>
      <c r="R208" s="76"/>
      <c r="S208" s="27"/>
      <c r="T208" s="27"/>
      <c r="U208" s="27"/>
      <c r="V208" s="27"/>
      <c r="W208" s="27"/>
      <c r="X208" s="27"/>
      <c r="Y208" s="27">
        <f t="shared" si="27"/>
        <v>0</v>
      </c>
      <c r="Z208" s="77">
        <f t="shared" si="28"/>
        <v>0</v>
      </c>
      <c r="AA208" s="44">
        <v>12790</v>
      </c>
      <c r="AB208" s="46"/>
    </row>
    <row r="209" spans="1:28" x14ac:dyDescent="0.3">
      <c r="A209" s="79">
        <v>45931</v>
      </c>
      <c r="B209" s="23">
        <v>45931</v>
      </c>
      <c r="C209" s="65"/>
      <c r="D209" s="39"/>
      <c r="E209" s="39"/>
      <c r="F209" s="27"/>
      <c r="G209" s="33" t="s">
        <v>256</v>
      </c>
      <c r="H209" s="27"/>
      <c r="I209" s="27"/>
      <c r="J209" s="27"/>
      <c r="K209" s="76"/>
      <c r="L209" s="27"/>
      <c r="M209" s="27"/>
      <c r="N209" s="27"/>
      <c r="O209" s="27"/>
      <c r="P209" s="27">
        <f t="shared" si="26"/>
        <v>0</v>
      </c>
      <c r="Q209" s="76"/>
      <c r="R209" s="76"/>
      <c r="S209" s="27"/>
      <c r="T209" s="27"/>
      <c r="U209" s="27"/>
      <c r="V209" s="27"/>
      <c r="W209" s="27"/>
      <c r="X209" s="27"/>
      <c r="Y209" s="27">
        <f t="shared" si="27"/>
        <v>0</v>
      </c>
      <c r="Z209" s="77">
        <f t="shared" si="28"/>
        <v>0</v>
      </c>
      <c r="AA209" s="44"/>
      <c r="AB209" s="46"/>
    </row>
    <row r="210" spans="1:28" x14ac:dyDescent="0.3">
      <c r="A210" s="79">
        <v>45931</v>
      </c>
      <c r="B210" s="23">
        <v>45931</v>
      </c>
      <c r="C210" s="65" t="s">
        <v>34</v>
      </c>
      <c r="D210" s="39"/>
      <c r="E210" s="39"/>
      <c r="F210" s="27"/>
      <c r="G210" s="33" t="s">
        <v>257</v>
      </c>
      <c r="H210" s="27"/>
      <c r="I210" s="27"/>
      <c r="J210" s="27"/>
      <c r="K210" s="76"/>
      <c r="L210" s="27"/>
      <c r="M210" s="27"/>
      <c r="N210" s="27"/>
      <c r="O210" s="27"/>
      <c r="P210" s="27">
        <f t="shared" si="26"/>
        <v>0</v>
      </c>
      <c r="Q210" s="76"/>
      <c r="R210" s="76"/>
      <c r="S210" s="27"/>
      <c r="T210" s="27"/>
      <c r="U210" s="27"/>
      <c r="V210" s="27"/>
      <c r="W210" s="27"/>
      <c r="X210" s="27"/>
      <c r="Y210" s="27">
        <f t="shared" si="27"/>
        <v>0</v>
      </c>
      <c r="Z210" s="77">
        <f t="shared" si="28"/>
        <v>0</v>
      </c>
      <c r="AA210" s="44">
        <v>2368</v>
      </c>
      <c r="AB210" s="46"/>
    </row>
    <row r="211" spans="1:28" x14ac:dyDescent="0.3">
      <c r="A211" s="79">
        <v>45931</v>
      </c>
      <c r="B211" s="23">
        <v>45931</v>
      </c>
      <c r="C211" s="65" t="s">
        <v>34</v>
      </c>
      <c r="D211" s="39"/>
      <c r="E211" s="39"/>
      <c r="F211" s="27"/>
      <c r="G211" s="33" t="s">
        <v>258</v>
      </c>
      <c r="H211" s="27"/>
      <c r="I211" s="27"/>
      <c r="J211" s="27"/>
      <c r="K211" s="76"/>
      <c r="L211" s="27"/>
      <c r="M211" s="27"/>
      <c r="N211" s="27"/>
      <c r="O211" s="27"/>
      <c r="P211" s="27">
        <f t="shared" si="26"/>
        <v>0</v>
      </c>
      <c r="Q211" s="76"/>
      <c r="R211" s="76"/>
      <c r="S211" s="27"/>
      <c r="T211" s="27"/>
      <c r="U211" s="27"/>
      <c r="V211" s="27"/>
      <c r="W211" s="27"/>
      <c r="X211" s="27"/>
      <c r="Y211" s="27">
        <f t="shared" si="27"/>
        <v>0</v>
      </c>
      <c r="Z211" s="77">
        <f t="shared" si="28"/>
        <v>0</v>
      </c>
      <c r="AA211" s="44">
        <v>3700</v>
      </c>
      <c r="AB211" s="46"/>
    </row>
    <row r="212" spans="1:28" x14ac:dyDescent="0.3">
      <c r="A212" s="79">
        <v>45931</v>
      </c>
      <c r="B212" s="23">
        <v>45931</v>
      </c>
      <c r="C212" s="65" t="s">
        <v>34</v>
      </c>
      <c r="D212" s="39"/>
      <c r="E212" s="39"/>
      <c r="F212" s="27"/>
      <c r="G212" s="33" t="s">
        <v>259</v>
      </c>
      <c r="H212" s="27"/>
      <c r="I212" s="27"/>
      <c r="J212" s="27"/>
      <c r="K212" s="76"/>
      <c r="L212" s="27"/>
      <c r="M212" s="27"/>
      <c r="N212" s="27"/>
      <c r="O212" s="27"/>
      <c r="P212" s="27">
        <f t="shared" si="26"/>
        <v>0</v>
      </c>
      <c r="Q212" s="76"/>
      <c r="R212" s="76"/>
      <c r="S212" s="27"/>
      <c r="T212" s="27"/>
      <c r="U212" s="27"/>
      <c r="V212" s="27"/>
      <c r="W212" s="27"/>
      <c r="X212" s="27"/>
      <c r="Y212" s="27">
        <f t="shared" si="27"/>
        <v>0</v>
      </c>
      <c r="Z212" s="77">
        <f t="shared" si="28"/>
        <v>0</v>
      </c>
      <c r="AA212" s="44">
        <v>1700</v>
      </c>
      <c r="AB212" s="46"/>
    </row>
    <row r="213" spans="1:28" x14ac:dyDescent="0.3">
      <c r="A213" s="79">
        <v>45932</v>
      </c>
      <c r="B213" s="23">
        <v>45931</v>
      </c>
      <c r="C213" s="65" t="s">
        <v>34</v>
      </c>
      <c r="D213" s="39"/>
      <c r="E213" s="39"/>
      <c r="F213" s="27"/>
      <c r="G213" s="33" t="s">
        <v>260</v>
      </c>
      <c r="H213" s="27"/>
      <c r="I213" s="27"/>
      <c r="J213" s="27"/>
      <c r="K213" s="76"/>
      <c r="L213" s="27"/>
      <c r="M213" s="27"/>
      <c r="N213" s="27"/>
      <c r="O213" s="27"/>
      <c r="P213" s="27">
        <f t="shared" si="26"/>
        <v>0</v>
      </c>
      <c r="Q213" s="76"/>
      <c r="R213" s="76"/>
      <c r="S213" s="27"/>
      <c r="T213" s="27"/>
      <c r="U213" s="27"/>
      <c r="V213" s="27"/>
      <c r="W213" s="27"/>
      <c r="X213" s="27"/>
      <c r="Y213" s="27">
        <f t="shared" si="27"/>
        <v>0</v>
      </c>
      <c r="Z213" s="77">
        <f t="shared" si="28"/>
        <v>0</v>
      </c>
      <c r="AA213" s="44">
        <v>6176.4</v>
      </c>
      <c r="AB213" s="46"/>
    </row>
    <row r="214" spans="1:28" x14ac:dyDescent="0.3">
      <c r="A214" s="79">
        <v>45932</v>
      </c>
      <c r="B214" s="23">
        <v>45931</v>
      </c>
      <c r="C214" s="65" t="s">
        <v>34</v>
      </c>
      <c r="D214" s="39"/>
      <c r="E214" s="39"/>
      <c r="F214" s="27"/>
      <c r="G214" s="33" t="s">
        <v>261</v>
      </c>
      <c r="H214" s="27"/>
      <c r="I214" s="27"/>
      <c r="J214" s="27"/>
      <c r="K214" s="76"/>
      <c r="L214" s="27"/>
      <c r="M214" s="27"/>
      <c r="N214" s="27"/>
      <c r="O214" s="27"/>
      <c r="P214" s="27">
        <f t="shared" si="26"/>
        <v>0</v>
      </c>
      <c r="Q214" s="76"/>
      <c r="R214" s="76"/>
      <c r="S214" s="27"/>
      <c r="T214" s="27"/>
      <c r="U214" s="27"/>
      <c r="V214" s="27"/>
      <c r="W214" s="27"/>
      <c r="X214" s="27"/>
      <c r="Y214" s="27">
        <f t="shared" si="27"/>
        <v>0</v>
      </c>
      <c r="Z214" s="77">
        <f t="shared" si="28"/>
        <v>0</v>
      </c>
      <c r="AA214" s="44">
        <v>4075</v>
      </c>
      <c r="AB214" s="46"/>
    </row>
    <row r="215" spans="1:28" x14ac:dyDescent="0.3">
      <c r="A215" s="79">
        <v>45932</v>
      </c>
      <c r="B215" s="23">
        <v>45931</v>
      </c>
      <c r="C215" s="65" t="s">
        <v>34</v>
      </c>
      <c r="D215" s="39"/>
      <c r="E215" s="39"/>
      <c r="F215" s="27"/>
      <c r="G215" s="33" t="s">
        <v>262</v>
      </c>
      <c r="H215" s="27"/>
      <c r="I215" s="27"/>
      <c r="J215" s="27"/>
      <c r="K215" s="76"/>
      <c r="L215" s="27"/>
      <c r="M215" s="27"/>
      <c r="N215" s="27"/>
      <c r="O215" s="27"/>
      <c r="P215" s="27">
        <f t="shared" si="26"/>
        <v>0</v>
      </c>
      <c r="Q215" s="76"/>
      <c r="R215" s="76"/>
      <c r="S215" s="27"/>
      <c r="T215" s="27"/>
      <c r="U215" s="27"/>
      <c r="V215" s="27"/>
      <c r="W215" s="27"/>
      <c r="X215" s="27"/>
      <c r="Y215" s="27">
        <f t="shared" si="27"/>
        <v>0</v>
      </c>
      <c r="Z215" s="77">
        <f t="shared" si="28"/>
        <v>0</v>
      </c>
      <c r="AA215" s="44">
        <v>71675</v>
      </c>
      <c r="AB215" s="46"/>
    </row>
    <row r="216" spans="1:28" x14ac:dyDescent="0.3">
      <c r="A216" s="79">
        <v>45932</v>
      </c>
      <c r="B216" s="23">
        <v>45931</v>
      </c>
      <c r="C216" s="65" t="s">
        <v>34</v>
      </c>
      <c r="D216" s="39"/>
      <c r="E216" s="39"/>
      <c r="F216" s="27"/>
      <c r="G216" s="33" t="s">
        <v>263</v>
      </c>
      <c r="H216" s="27"/>
      <c r="I216" s="27"/>
      <c r="J216" s="27"/>
      <c r="K216" s="76"/>
      <c r="L216" s="27"/>
      <c r="M216" s="27"/>
      <c r="N216" s="27"/>
      <c r="O216" s="27"/>
      <c r="P216" s="27">
        <f t="shared" si="26"/>
        <v>0</v>
      </c>
      <c r="Q216" s="76"/>
      <c r="R216" s="76"/>
      <c r="S216" s="27"/>
      <c r="T216" s="27"/>
      <c r="U216" s="27"/>
      <c r="V216" s="27"/>
      <c r="W216" s="27"/>
      <c r="X216" s="27"/>
      <c r="Y216" s="27">
        <f t="shared" si="27"/>
        <v>0</v>
      </c>
      <c r="Z216" s="77">
        <f t="shared" si="28"/>
        <v>0</v>
      </c>
      <c r="AA216" s="44">
        <v>16820</v>
      </c>
      <c r="AB216" s="46"/>
    </row>
    <row r="217" spans="1:28" x14ac:dyDescent="0.3">
      <c r="A217" s="79">
        <v>45933</v>
      </c>
      <c r="B217" s="23">
        <v>45931</v>
      </c>
      <c r="C217" s="65" t="s">
        <v>34</v>
      </c>
      <c r="D217" s="39"/>
      <c r="E217" s="39"/>
      <c r="F217" s="27"/>
      <c r="G217" s="33" t="s">
        <v>264</v>
      </c>
      <c r="H217" s="27"/>
      <c r="I217" s="27"/>
      <c r="J217" s="27"/>
      <c r="K217" s="76"/>
      <c r="L217" s="27"/>
      <c r="M217" s="27"/>
      <c r="N217" s="27"/>
      <c r="O217" s="27"/>
      <c r="P217" s="27">
        <f t="shared" si="26"/>
        <v>0</v>
      </c>
      <c r="Q217" s="76"/>
      <c r="R217" s="76"/>
      <c r="S217" s="27"/>
      <c r="T217" s="27"/>
      <c r="U217" s="27"/>
      <c r="V217" s="27"/>
      <c r="W217" s="27"/>
      <c r="X217" s="27"/>
      <c r="Y217" s="27">
        <f t="shared" si="27"/>
        <v>0</v>
      </c>
      <c r="Z217" s="77">
        <f t="shared" si="28"/>
        <v>0</v>
      </c>
      <c r="AA217" s="44">
        <v>9653.6</v>
      </c>
      <c r="AB217" s="46"/>
    </row>
    <row r="218" spans="1:28" x14ac:dyDescent="0.3">
      <c r="A218" s="79">
        <v>45933</v>
      </c>
      <c r="B218" s="23">
        <v>45931</v>
      </c>
      <c r="C218" s="65" t="s">
        <v>29</v>
      </c>
      <c r="D218" s="39"/>
      <c r="E218" s="39"/>
      <c r="F218" s="27"/>
      <c r="G218" s="33" t="s">
        <v>265</v>
      </c>
      <c r="H218" s="27"/>
      <c r="I218" s="27"/>
      <c r="J218" s="27"/>
      <c r="K218" s="76"/>
      <c r="L218" s="27"/>
      <c r="M218" s="27"/>
      <c r="N218" s="27"/>
      <c r="O218" s="27"/>
      <c r="P218" s="27">
        <f t="shared" si="26"/>
        <v>0</v>
      </c>
      <c r="Q218" s="76"/>
      <c r="R218" s="76"/>
      <c r="S218" s="27"/>
      <c r="T218" s="27"/>
      <c r="U218" s="27"/>
      <c r="V218" s="27"/>
      <c r="W218" s="27"/>
      <c r="X218" s="27"/>
      <c r="Y218" s="27">
        <f t="shared" si="27"/>
        <v>0</v>
      </c>
      <c r="Z218" s="77">
        <f t="shared" si="28"/>
        <v>0</v>
      </c>
      <c r="AA218" s="44"/>
      <c r="AB218" s="46"/>
    </row>
    <row r="219" spans="1:28" x14ac:dyDescent="0.3">
      <c r="A219" s="79">
        <v>45933</v>
      </c>
      <c r="B219" s="23">
        <v>45931</v>
      </c>
      <c r="C219" s="65" t="s">
        <v>29</v>
      </c>
      <c r="D219" s="39"/>
      <c r="E219" s="39"/>
      <c r="F219" s="27"/>
      <c r="G219" s="33" t="s">
        <v>266</v>
      </c>
      <c r="H219" s="27"/>
      <c r="I219" s="27"/>
      <c r="J219" s="27"/>
      <c r="K219" s="76"/>
      <c r="L219" s="27"/>
      <c r="M219" s="27"/>
      <c r="N219" s="27"/>
      <c r="O219" s="27"/>
      <c r="P219" s="27">
        <f t="shared" si="26"/>
        <v>0</v>
      </c>
      <c r="Q219" s="76"/>
      <c r="R219" s="76"/>
      <c r="S219" s="27"/>
      <c r="T219" s="27"/>
      <c r="U219" s="27"/>
      <c r="V219" s="27"/>
      <c r="W219" s="27"/>
      <c r="X219" s="27"/>
      <c r="Y219" s="27">
        <f t="shared" si="27"/>
        <v>0</v>
      </c>
      <c r="Z219" s="77">
        <f t="shared" si="28"/>
        <v>0</v>
      </c>
      <c r="AA219" s="44"/>
      <c r="AB219" s="46"/>
    </row>
    <row r="220" spans="1:28" x14ac:dyDescent="0.3">
      <c r="A220" s="79">
        <v>45933</v>
      </c>
      <c r="B220" s="23">
        <v>45931</v>
      </c>
      <c r="C220" s="65" t="s">
        <v>34</v>
      </c>
      <c r="D220" s="39"/>
      <c r="E220" s="39"/>
      <c r="F220" s="27"/>
      <c r="G220" s="33" t="s">
        <v>267</v>
      </c>
      <c r="H220" s="27"/>
      <c r="I220" s="27"/>
      <c r="J220" s="27"/>
      <c r="K220" s="76"/>
      <c r="L220" s="27"/>
      <c r="M220" s="27"/>
      <c r="N220" s="27"/>
      <c r="O220" s="27"/>
      <c r="P220" s="27">
        <f t="shared" si="26"/>
        <v>0</v>
      </c>
      <c r="Q220" s="76"/>
      <c r="R220" s="76"/>
      <c r="S220" s="27"/>
      <c r="T220" s="27"/>
      <c r="U220" s="27"/>
      <c r="V220" s="27"/>
      <c r="W220" s="27"/>
      <c r="X220" s="27"/>
      <c r="Y220" s="27">
        <f t="shared" si="27"/>
        <v>0</v>
      </c>
      <c r="Z220" s="77">
        <f t="shared" si="28"/>
        <v>0</v>
      </c>
      <c r="AA220" s="44">
        <v>13090</v>
      </c>
      <c r="AB220" s="46"/>
    </row>
    <row r="221" spans="1:28" x14ac:dyDescent="0.3">
      <c r="A221" s="79">
        <v>45934</v>
      </c>
      <c r="B221" s="23">
        <v>45931</v>
      </c>
      <c r="C221" s="65" t="s">
        <v>29</v>
      </c>
      <c r="D221" s="39"/>
      <c r="E221" s="39"/>
      <c r="F221" s="27"/>
      <c r="G221" s="33" t="s">
        <v>268</v>
      </c>
      <c r="H221" s="27"/>
      <c r="I221" s="27"/>
      <c r="J221" s="27"/>
      <c r="K221" s="76"/>
      <c r="L221" s="27"/>
      <c r="M221" s="27"/>
      <c r="N221" s="27"/>
      <c r="O221" s="27"/>
      <c r="P221" s="27">
        <f t="shared" si="26"/>
        <v>0</v>
      </c>
      <c r="Q221" s="76"/>
      <c r="R221" s="76"/>
      <c r="S221" s="27"/>
      <c r="T221" s="27"/>
      <c r="U221" s="27"/>
      <c r="V221" s="27"/>
      <c r="W221" s="27"/>
      <c r="X221" s="27"/>
      <c r="Y221" s="27">
        <f t="shared" si="27"/>
        <v>0</v>
      </c>
      <c r="Z221" s="77">
        <f t="shared" si="28"/>
        <v>0</v>
      </c>
      <c r="AA221" s="44"/>
      <c r="AB221" s="46"/>
    </row>
    <row r="222" spans="1:28" x14ac:dyDescent="0.3">
      <c r="A222" s="79">
        <v>45934</v>
      </c>
      <c r="B222" s="23">
        <v>45931</v>
      </c>
      <c r="C222" s="65" t="s">
        <v>29</v>
      </c>
      <c r="D222" s="39"/>
      <c r="E222" s="39"/>
      <c r="F222" s="27"/>
      <c r="G222" s="33" t="s">
        <v>269</v>
      </c>
      <c r="H222" s="27"/>
      <c r="I222" s="27"/>
      <c r="J222" s="27"/>
      <c r="K222" s="76"/>
      <c r="L222" s="27"/>
      <c r="M222" s="27"/>
      <c r="N222" s="27"/>
      <c r="O222" s="27"/>
      <c r="P222" s="27">
        <f t="shared" si="26"/>
        <v>0</v>
      </c>
      <c r="Q222" s="76"/>
      <c r="R222" s="76"/>
      <c r="S222" s="27"/>
      <c r="T222" s="27"/>
      <c r="U222" s="27"/>
      <c r="V222" s="27"/>
      <c r="W222" s="27"/>
      <c r="X222" s="27"/>
      <c r="Y222" s="27">
        <f t="shared" si="27"/>
        <v>0</v>
      </c>
      <c r="Z222" s="77">
        <f t="shared" si="28"/>
        <v>0</v>
      </c>
      <c r="AA222" s="44"/>
      <c r="AB222" s="46"/>
    </row>
    <row r="223" spans="1:28" x14ac:dyDescent="0.3">
      <c r="A223" s="79">
        <v>45934</v>
      </c>
      <c r="B223" s="23">
        <v>45931</v>
      </c>
      <c r="C223" s="65" t="s">
        <v>29</v>
      </c>
      <c r="D223" s="39"/>
      <c r="E223" s="39"/>
      <c r="F223" s="27"/>
      <c r="G223" s="33" t="s">
        <v>270</v>
      </c>
      <c r="H223" s="27"/>
      <c r="I223" s="27"/>
      <c r="J223" s="27"/>
      <c r="K223" s="76"/>
      <c r="L223" s="27"/>
      <c r="M223" s="27"/>
      <c r="N223" s="27"/>
      <c r="O223" s="27"/>
      <c r="P223" s="27">
        <f t="shared" si="26"/>
        <v>0</v>
      </c>
      <c r="Q223" s="76"/>
      <c r="R223" s="76"/>
      <c r="S223" s="27"/>
      <c r="T223" s="27"/>
      <c r="U223" s="27"/>
      <c r="V223" s="27"/>
      <c r="W223" s="27"/>
      <c r="X223" s="27"/>
      <c r="Y223" s="27">
        <f t="shared" si="27"/>
        <v>0</v>
      </c>
      <c r="Z223" s="77">
        <f t="shared" si="28"/>
        <v>0</v>
      </c>
      <c r="AA223" s="44"/>
      <c r="AB223" s="46"/>
    </row>
    <row r="224" spans="1:28" x14ac:dyDescent="0.3">
      <c r="A224" s="79">
        <v>45934</v>
      </c>
      <c r="B224" s="23">
        <v>45931</v>
      </c>
      <c r="C224" s="65" t="s">
        <v>29</v>
      </c>
      <c r="D224" s="39"/>
      <c r="E224" s="39"/>
      <c r="F224" s="27"/>
      <c r="G224" s="33" t="s">
        <v>271</v>
      </c>
      <c r="H224" s="27"/>
      <c r="I224" s="27"/>
      <c r="J224" s="27"/>
      <c r="K224" s="76"/>
      <c r="L224" s="27"/>
      <c r="M224" s="27"/>
      <c r="N224" s="27"/>
      <c r="O224" s="27"/>
      <c r="P224" s="27">
        <f t="shared" si="26"/>
        <v>0</v>
      </c>
      <c r="Q224" s="76"/>
      <c r="R224" s="76"/>
      <c r="S224" s="27"/>
      <c r="T224" s="27"/>
      <c r="U224" s="27"/>
      <c r="V224" s="27"/>
      <c r="W224" s="27"/>
      <c r="X224" s="27"/>
      <c r="Y224" s="27">
        <f t="shared" si="27"/>
        <v>0</v>
      </c>
      <c r="Z224" s="77">
        <f t="shared" si="28"/>
        <v>0</v>
      </c>
      <c r="AA224" s="44"/>
      <c r="AB224" s="46"/>
    </row>
    <row r="225" spans="1:28" x14ac:dyDescent="0.3">
      <c r="A225" s="79">
        <v>45934</v>
      </c>
      <c r="B225" s="23">
        <v>45931</v>
      </c>
      <c r="C225" s="65" t="s">
        <v>29</v>
      </c>
      <c r="D225" s="39"/>
      <c r="E225" s="39"/>
      <c r="F225" s="27"/>
      <c r="G225" s="33" t="s">
        <v>272</v>
      </c>
      <c r="H225" s="27"/>
      <c r="I225" s="27"/>
      <c r="J225" s="27"/>
      <c r="K225" s="76"/>
      <c r="L225" s="27"/>
      <c r="M225" s="27"/>
      <c r="N225" s="27"/>
      <c r="O225" s="27"/>
      <c r="P225" s="27">
        <f t="shared" si="26"/>
        <v>0</v>
      </c>
      <c r="Q225" s="76"/>
      <c r="R225" s="76"/>
      <c r="S225" s="27"/>
      <c r="T225" s="27"/>
      <c r="U225" s="27"/>
      <c r="V225" s="27"/>
      <c r="W225" s="27"/>
      <c r="X225" s="27"/>
      <c r="Y225" s="27">
        <f t="shared" si="27"/>
        <v>0</v>
      </c>
      <c r="Z225" s="77">
        <f t="shared" si="28"/>
        <v>0</v>
      </c>
      <c r="AA225" s="44"/>
      <c r="AB225" s="46"/>
    </row>
    <row r="226" spans="1:28" x14ac:dyDescent="0.3">
      <c r="A226" s="79">
        <v>45934</v>
      </c>
      <c r="B226" s="23">
        <v>45931</v>
      </c>
      <c r="C226" s="65" t="s">
        <v>29</v>
      </c>
      <c r="D226" s="39"/>
      <c r="E226" s="39"/>
      <c r="F226" s="27" t="s">
        <v>76</v>
      </c>
      <c r="G226" s="33" t="s">
        <v>273</v>
      </c>
      <c r="H226" s="27"/>
      <c r="I226" s="27"/>
      <c r="J226" s="27"/>
      <c r="K226" s="76"/>
      <c r="L226" s="27"/>
      <c r="M226" s="27"/>
      <c r="N226" s="27"/>
      <c r="O226" s="27"/>
      <c r="P226" s="27">
        <f t="shared" si="26"/>
        <v>0</v>
      </c>
      <c r="Q226" s="76"/>
      <c r="R226" s="76"/>
      <c r="S226" s="27"/>
      <c r="T226" s="27"/>
      <c r="U226" s="27"/>
      <c r="V226" s="27"/>
      <c r="W226" s="27"/>
      <c r="X226" s="27"/>
      <c r="Y226" s="27">
        <f t="shared" si="27"/>
        <v>0</v>
      </c>
      <c r="Z226" s="77">
        <f t="shared" si="28"/>
        <v>0</v>
      </c>
      <c r="AA226" s="44"/>
      <c r="AB226" s="46"/>
    </row>
    <row r="227" spans="1:28" x14ac:dyDescent="0.3">
      <c r="A227" s="79">
        <v>45934</v>
      </c>
      <c r="B227" s="23">
        <v>45931</v>
      </c>
      <c r="C227" s="65" t="s">
        <v>34</v>
      </c>
      <c r="D227" s="39"/>
      <c r="E227" s="39"/>
      <c r="F227" s="27" t="s">
        <v>221</v>
      </c>
      <c r="G227" s="33" t="s">
        <v>274</v>
      </c>
      <c r="H227" s="27"/>
      <c r="I227" s="27"/>
      <c r="J227" s="27"/>
      <c r="K227" s="76"/>
      <c r="L227" s="27"/>
      <c r="M227" s="27"/>
      <c r="N227" s="27"/>
      <c r="O227" s="27"/>
      <c r="P227" s="27">
        <f t="shared" si="26"/>
        <v>0</v>
      </c>
      <c r="Q227" s="76"/>
      <c r="R227" s="76"/>
      <c r="S227" s="27"/>
      <c r="T227" s="27"/>
      <c r="U227" s="27"/>
      <c r="V227" s="27"/>
      <c r="W227" s="27"/>
      <c r="X227" s="27"/>
      <c r="Y227" s="27">
        <f t="shared" si="27"/>
        <v>0</v>
      </c>
      <c r="Z227" s="77">
        <f t="shared" si="28"/>
        <v>0</v>
      </c>
      <c r="AA227" s="44">
        <v>6000</v>
      </c>
      <c r="AB227" s="46"/>
    </row>
    <row r="228" spans="1:28" x14ac:dyDescent="0.3">
      <c r="A228" s="79">
        <v>45934</v>
      </c>
      <c r="B228" s="23">
        <v>45931</v>
      </c>
      <c r="C228" s="65" t="s">
        <v>29</v>
      </c>
      <c r="D228" s="39"/>
      <c r="E228" s="39"/>
      <c r="F228" s="27" t="s">
        <v>107</v>
      </c>
      <c r="G228" s="33" t="s">
        <v>275</v>
      </c>
      <c r="H228" s="27"/>
      <c r="I228" s="27"/>
      <c r="J228" s="27"/>
      <c r="K228" s="76"/>
      <c r="L228" s="27"/>
      <c r="M228" s="27"/>
      <c r="N228" s="27"/>
      <c r="O228" s="27"/>
      <c r="P228" s="27">
        <f t="shared" si="26"/>
        <v>0</v>
      </c>
      <c r="Q228" s="76"/>
      <c r="R228" s="76"/>
      <c r="S228" s="27"/>
      <c r="T228" s="27"/>
      <c r="U228" s="27"/>
      <c r="V228" s="27"/>
      <c r="W228" s="27"/>
      <c r="X228" s="27"/>
      <c r="Y228" s="27">
        <f t="shared" si="27"/>
        <v>0</v>
      </c>
      <c r="Z228" s="77">
        <f t="shared" si="28"/>
        <v>0</v>
      </c>
      <c r="AA228" s="44"/>
      <c r="AB228" s="46"/>
    </row>
    <row r="229" spans="1:28" x14ac:dyDescent="0.3">
      <c r="A229" s="79">
        <v>45934</v>
      </c>
      <c r="B229" s="23">
        <v>45931</v>
      </c>
      <c r="C229" s="65" t="s">
        <v>29</v>
      </c>
      <c r="D229" s="39"/>
      <c r="E229" s="39"/>
      <c r="F229" s="27" t="s">
        <v>276</v>
      </c>
      <c r="G229" s="33" t="s">
        <v>277</v>
      </c>
      <c r="H229" s="27"/>
      <c r="I229" s="27"/>
      <c r="J229" s="27"/>
      <c r="K229" s="76"/>
      <c r="L229" s="27"/>
      <c r="M229" s="27"/>
      <c r="N229" s="27"/>
      <c r="O229" s="27"/>
      <c r="P229" s="27">
        <f t="shared" si="26"/>
        <v>0</v>
      </c>
      <c r="Q229" s="76"/>
      <c r="R229" s="76"/>
      <c r="S229" s="27"/>
      <c r="T229" s="27"/>
      <c r="U229" s="27"/>
      <c r="V229" s="27"/>
      <c r="W229" s="27"/>
      <c r="X229" s="27"/>
      <c r="Y229" s="27">
        <f t="shared" si="27"/>
        <v>0</v>
      </c>
      <c r="Z229" s="77">
        <f t="shared" si="28"/>
        <v>0</v>
      </c>
      <c r="AA229" s="44"/>
      <c r="AB229" s="46"/>
    </row>
    <row r="230" spans="1:28" x14ac:dyDescent="0.3">
      <c r="A230" s="79">
        <v>45934</v>
      </c>
      <c r="B230" s="23">
        <v>45931</v>
      </c>
      <c r="C230" s="65" t="s">
        <v>108</v>
      </c>
      <c r="D230" s="39"/>
      <c r="E230" s="39"/>
      <c r="F230" s="27" t="s">
        <v>155</v>
      </c>
      <c r="G230" s="33" t="s">
        <v>278</v>
      </c>
      <c r="H230" s="27"/>
      <c r="I230" s="27"/>
      <c r="J230" s="27"/>
      <c r="K230" s="76"/>
      <c r="L230" s="27"/>
      <c r="M230" s="27"/>
      <c r="N230" s="27"/>
      <c r="O230" s="27"/>
      <c r="P230" s="27">
        <f t="shared" si="26"/>
        <v>0</v>
      </c>
      <c r="Q230" s="76"/>
      <c r="R230" s="76"/>
      <c r="S230" s="27"/>
      <c r="T230" s="27"/>
      <c r="U230" s="27"/>
      <c r="V230" s="27"/>
      <c r="W230" s="27"/>
      <c r="X230" s="27"/>
      <c r="Y230" s="27">
        <f t="shared" si="27"/>
        <v>0</v>
      </c>
      <c r="Z230" s="77">
        <f t="shared" si="28"/>
        <v>0</v>
      </c>
      <c r="AA230" s="44"/>
      <c r="AB230" s="46"/>
    </row>
    <row r="231" spans="1:28" x14ac:dyDescent="0.3">
      <c r="A231" s="79">
        <v>45935</v>
      </c>
      <c r="B231" s="23">
        <v>45931</v>
      </c>
      <c r="C231" s="65" t="s">
        <v>34</v>
      </c>
      <c r="D231" s="39"/>
      <c r="E231" s="39"/>
      <c r="F231" s="27" t="s">
        <v>125</v>
      </c>
      <c r="G231" s="33" t="s">
        <v>279</v>
      </c>
      <c r="H231" s="27"/>
      <c r="I231" s="27"/>
      <c r="J231" s="27"/>
      <c r="K231" s="76"/>
      <c r="L231" s="27"/>
      <c r="M231" s="27"/>
      <c r="N231" s="27"/>
      <c r="O231" s="27"/>
      <c r="P231" s="27">
        <f t="shared" si="26"/>
        <v>0</v>
      </c>
      <c r="Q231" s="76"/>
      <c r="R231" s="76"/>
      <c r="S231" s="27"/>
      <c r="T231" s="27"/>
      <c r="U231" s="27"/>
      <c r="V231" s="27"/>
      <c r="W231" s="27"/>
      <c r="X231" s="27"/>
      <c r="Y231" s="27">
        <f t="shared" si="27"/>
        <v>0</v>
      </c>
      <c r="Z231" s="77">
        <f t="shared" si="28"/>
        <v>0</v>
      </c>
      <c r="AA231" s="44">
        <v>24760</v>
      </c>
      <c r="AB231" s="46"/>
    </row>
    <row r="232" spans="1:28" x14ac:dyDescent="0.3">
      <c r="A232" s="79">
        <v>45935</v>
      </c>
      <c r="B232" s="23">
        <v>45931</v>
      </c>
      <c r="C232" s="65" t="s">
        <v>34</v>
      </c>
      <c r="D232" s="39"/>
      <c r="E232" s="39"/>
      <c r="F232" s="27" t="s">
        <v>280</v>
      </c>
      <c r="G232" s="33" t="s">
        <v>281</v>
      </c>
      <c r="H232" s="27"/>
      <c r="I232" s="27"/>
      <c r="J232" s="27"/>
      <c r="K232" s="76"/>
      <c r="L232" s="27"/>
      <c r="M232" s="27"/>
      <c r="N232" s="27"/>
      <c r="O232" s="27"/>
      <c r="P232" s="27">
        <f t="shared" si="26"/>
        <v>0</v>
      </c>
      <c r="Q232" s="76"/>
      <c r="R232" s="76"/>
      <c r="S232" s="27"/>
      <c r="T232" s="27"/>
      <c r="U232" s="27"/>
      <c r="V232" s="27"/>
      <c r="W232" s="27"/>
      <c r="X232" s="27"/>
      <c r="Y232" s="27">
        <f t="shared" si="27"/>
        <v>0</v>
      </c>
      <c r="Z232" s="77">
        <f t="shared" si="28"/>
        <v>0</v>
      </c>
      <c r="AA232" s="44">
        <v>4964.5</v>
      </c>
      <c r="AB232" s="46"/>
    </row>
    <row r="233" spans="1:28" x14ac:dyDescent="0.3">
      <c r="A233" s="80">
        <v>45935</v>
      </c>
      <c r="B233" s="23">
        <v>45931</v>
      </c>
      <c r="C233" s="73" t="s">
        <v>34</v>
      </c>
      <c r="D233" s="41"/>
      <c r="E233" s="41"/>
      <c r="F233" s="53" t="s">
        <v>218</v>
      </c>
      <c r="G233" s="42" t="s">
        <v>282</v>
      </c>
      <c r="H233" s="53"/>
      <c r="I233" s="53"/>
      <c r="J233" s="53"/>
      <c r="K233" s="76"/>
      <c r="L233" s="53"/>
      <c r="M233" s="53"/>
      <c r="N233" s="53"/>
      <c r="O233" s="53"/>
      <c r="P233" s="53">
        <f t="shared" si="26"/>
        <v>0</v>
      </c>
      <c r="Q233" s="76"/>
      <c r="R233" s="76"/>
      <c r="S233" s="53"/>
      <c r="T233" s="53"/>
      <c r="U233" s="53"/>
      <c r="V233" s="53"/>
      <c r="W233" s="53"/>
      <c r="X233" s="53"/>
      <c r="Y233" s="53">
        <f t="shared" si="27"/>
        <v>0</v>
      </c>
      <c r="Z233" s="78">
        <f t="shared" si="28"/>
        <v>0</v>
      </c>
      <c r="AA233" s="74">
        <v>22800</v>
      </c>
      <c r="AB233" s="75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99D3-0234-417B-BEE8-387D9D50797A}">
  <dimension ref="A1:K9"/>
  <sheetViews>
    <sheetView workbookViewId="0">
      <selection activeCell="B6" sqref="B6"/>
    </sheetView>
  </sheetViews>
  <sheetFormatPr baseColWidth="10" defaultColWidth="11.44140625" defaultRowHeight="14.4" x14ac:dyDescent="0.3"/>
  <cols>
    <col min="1" max="1" width="17.5546875" bestFit="1" customWidth="1"/>
    <col min="2" max="2" width="14.109375" bestFit="1" customWidth="1"/>
    <col min="3" max="3" width="12.6640625" bestFit="1" customWidth="1"/>
    <col min="4" max="4" width="26.88671875" bestFit="1" customWidth="1"/>
    <col min="5" max="5" width="17.6640625" bestFit="1" customWidth="1"/>
    <col min="6" max="6" width="23.109375" bestFit="1" customWidth="1"/>
    <col min="7" max="7" width="20.88671875" bestFit="1" customWidth="1"/>
    <col min="8" max="8" width="23.109375" bestFit="1" customWidth="1"/>
    <col min="9" max="9" width="13.33203125" bestFit="1" customWidth="1"/>
    <col min="10" max="10" width="21.33203125" bestFit="1" customWidth="1"/>
    <col min="11" max="11" width="31.6640625" bestFit="1" customWidth="1"/>
    <col min="19" max="19" width="14.44140625" customWidth="1"/>
  </cols>
  <sheetData>
    <row r="1" spans="1:11" x14ac:dyDescent="0.3">
      <c r="A1" s="9" t="s">
        <v>2</v>
      </c>
      <c r="B1" s="6" t="s">
        <v>29</v>
      </c>
    </row>
    <row r="3" spans="1:11" x14ac:dyDescent="0.3">
      <c r="A3" s="9" t="s">
        <v>283</v>
      </c>
      <c r="B3" s="6" t="s">
        <v>284</v>
      </c>
      <c r="C3" s="6" t="s">
        <v>285</v>
      </c>
      <c r="D3" s="6" t="s">
        <v>286</v>
      </c>
      <c r="E3" s="6" t="s">
        <v>287</v>
      </c>
      <c r="F3" s="6" t="s">
        <v>288</v>
      </c>
      <c r="G3" s="6" t="s">
        <v>289</v>
      </c>
      <c r="H3" s="6" t="s">
        <v>290</v>
      </c>
      <c r="I3" s="6" t="s">
        <v>291</v>
      </c>
      <c r="J3" s="6" t="s">
        <v>292</v>
      </c>
      <c r="K3" s="6" t="s">
        <v>293</v>
      </c>
    </row>
    <row r="4" spans="1:11" x14ac:dyDescent="0.3">
      <c r="A4" s="11">
        <v>45292</v>
      </c>
      <c r="B4" s="54">
        <v>1875.9433518127282</v>
      </c>
      <c r="C4" s="54">
        <v>166.61611410472486</v>
      </c>
      <c r="D4" s="61">
        <v>8.8817241706005315E-2</v>
      </c>
      <c r="E4" s="54">
        <v>150.53160417380218</v>
      </c>
      <c r="F4" s="61">
        <v>8.0243150214713663E-2</v>
      </c>
      <c r="G4" s="54">
        <v>120.11763353420123</v>
      </c>
      <c r="H4" s="61">
        <v>6.4030522786379079E-2</v>
      </c>
      <c r="I4" s="62">
        <v>70.88</v>
      </c>
      <c r="J4" s="54">
        <v>1275.8399999999999</v>
      </c>
      <c r="K4" s="61">
        <v>0.68010582450005908</v>
      </c>
    </row>
    <row r="5" spans="1:11" x14ac:dyDescent="0.3">
      <c r="A5" s="11">
        <v>45352</v>
      </c>
      <c r="B5" s="54">
        <v>2128.5176853099383</v>
      </c>
      <c r="C5" s="54">
        <v>594.07248000745972</v>
      </c>
      <c r="D5" s="61">
        <v>0.27910150059239724</v>
      </c>
      <c r="E5" s="54">
        <v>608.73190876797435</v>
      </c>
      <c r="F5" s="61">
        <v>0.28598865443738869</v>
      </c>
      <c r="G5" s="54">
        <v>444.25729653450412</v>
      </c>
      <c r="H5" s="61">
        <v>0.20871675138081588</v>
      </c>
      <c r="I5" s="62">
        <v>18.3</v>
      </c>
      <c r="J5" s="54">
        <v>329.40000000000003</v>
      </c>
      <c r="K5" s="61">
        <v>0.15475558520061597</v>
      </c>
    </row>
    <row r="6" spans="1:11" x14ac:dyDescent="0.3">
      <c r="A6" s="11">
        <v>45383</v>
      </c>
      <c r="B6" s="54">
        <v>8445.4047187566157</v>
      </c>
      <c r="C6" s="54">
        <v>1932.8296190677843</v>
      </c>
      <c r="D6" s="61">
        <v>0.22886169265223175</v>
      </c>
      <c r="E6" s="54">
        <v>1405.1784803985947</v>
      </c>
      <c r="F6" s="61">
        <v>0.16638379416889257</v>
      </c>
      <c r="G6" s="54">
        <v>1187.5766192902379</v>
      </c>
      <c r="H6" s="61">
        <v>0.14061808271339779</v>
      </c>
      <c r="I6" s="62">
        <v>192.75</v>
      </c>
      <c r="J6" s="54">
        <v>3469.5</v>
      </c>
      <c r="K6" s="61">
        <v>0.41081512556698419</v>
      </c>
    </row>
    <row r="7" spans="1:11" x14ac:dyDescent="0.3">
      <c r="A7" s="11">
        <v>45413</v>
      </c>
      <c r="B7" s="54">
        <v>23958.421234522313</v>
      </c>
      <c r="C7" s="54">
        <v>3245.9369579191466</v>
      </c>
      <c r="D7" s="61">
        <v>0.1354820889968322</v>
      </c>
      <c r="E7" s="54">
        <v>2508.6858853900326</v>
      </c>
      <c r="F7" s="61">
        <v>0.10470998321772562</v>
      </c>
      <c r="G7" s="54">
        <v>2280.3183912131399</v>
      </c>
      <c r="H7" s="61">
        <v>9.517815756270992E-2</v>
      </c>
      <c r="I7" s="62">
        <v>763.24</v>
      </c>
      <c r="J7" s="54">
        <v>13738.32</v>
      </c>
      <c r="K7" s="61">
        <v>0.57342342659056755</v>
      </c>
    </row>
    <row r="8" spans="1:11" x14ac:dyDescent="0.3">
      <c r="A8" s="11">
        <v>45444</v>
      </c>
      <c r="B8" s="54">
        <v>36004.987284662966</v>
      </c>
      <c r="C8" s="54">
        <v>3476.5395244733472</v>
      </c>
      <c r="D8" s="61">
        <v>9.6557165733377387E-2</v>
      </c>
      <c r="E8" s="54">
        <v>3032.3790738641464</v>
      </c>
      <c r="F8" s="61">
        <v>8.422108442615249E-2</v>
      </c>
      <c r="G8" s="54">
        <v>2475.475686325472</v>
      </c>
      <c r="H8" s="61">
        <v>6.8753688669679097E-2</v>
      </c>
      <c r="I8" s="62">
        <v>1300.1400000000001</v>
      </c>
      <c r="J8" s="54">
        <v>23402.52</v>
      </c>
      <c r="K8" s="61">
        <v>0.64997995458170221</v>
      </c>
    </row>
    <row r="9" spans="1:11" x14ac:dyDescent="0.3">
      <c r="A9" s="11" t="s">
        <v>294</v>
      </c>
      <c r="B9" s="54">
        <v>72413.274275064556</v>
      </c>
      <c r="C9" s="54">
        <v>9415.9946955724627</v>
      </c>
      <c r="D9" s="61">
        <v>0.13003133458384233</v>
      </c>
      <c r="E9" s="54">
        <v>7705.5069525945501</v>
      </c>
      <c r="F9" s="61">
        <v>0.10641014413082456</v>
      </c>
      <c r="G9" s="54">
        <v>6507.7456268975548</v>
      </c>
      <c r="H9" s="61">
        <v>8.9869512075612543E-2</v>
      </c>
      <c r="I9" s="62">
        <v>2345.3100000000004</v>
      </c>
      <c r="J9" s="54">
        <v>42215.579999999987</v>
      </c>
      <c r="K9" s="61">
        <v>0.58298123407101454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2650-A61C-4E41-B57B-A0073E826A06}">
  <dimension ref="A1:N158"/>
  <sheetViews>
    <sheetView tabSelected="1" workbookViewId="0">
      <selection activeCell="A43" sqref="A43:D43"/>
      <pivotSelection pane="bottomRight" showHeader="1" extendable="1" axis="axisRow" start="38" max="154" activeRow="42" previousRow="42" click="1" r:id="rId1">
        <pivotArea dataOnly="0" fieldPosition="0">
          <references count="1">
            <reference field="5" count="1">
              <x v="38"/>
            </reference>
          </references>
        </pivotArea>
      </pivotSelection>
    </sheetView>
  </sheetViews>
  <sheetFormatPr baseColWidth="10" defaultColWidth="11.44140625" defaultRowHeight="14.4" x14ac:dyDescent="0.3"/>
  <cols>
    <col min="1" max="1" width="23.44140625" bestFit="1" customWidth="1"/>
    <col min="2" max="2" width="13" bestFit="1" customWidth="1"/>
    <col min="3" max="3" width="14.5546875" bestFit="1" customWidth="1"/>
    <col min="4" max="4" width="13.109375" bestFit="1" customWidth="1"/>
    <col min="5" max="5" width="14.33203125" bestFit="1" customWidth="1"/>
    <col min="8" max="8" width="8" customWidth="1"/>
    <col min="9" max="9" width="17.44140625" customWidth="1"/>
    <col min="10" max="10" width="17.5546875" bestFit="1" customWidth="1"/>
    <col min="11" max="11" width="12.44140625" bestFit="1" customWidth="1"/>
    <col min="12" max="12" width="17.33203125" customWidth="1"/>
    <col min="13" max="13" width="15.5546875" bestFit="1" customWidth="1"/>
  </cols>
  <sheetData>
    <row r="1" spans="1:14" x14ac:dyDescent="0.3">
      <c r="A1" s="9" t="s">
        <v>3</v>
      </c>
      <c r="B1" s="6" t="s">
        <v>295</v>
      </c>
    </row>
    <row r="2" spans="1:14" x14ac:dyDescent="0.3">
      <c r="A2" s="9" t="s">
        <v>2</v>
      </c>
      <c r="B2" s="6" t="s">
        <v>295</v>
      </c>
    </row>
    <row r="4" spans="1:14" x14ac:dyDescent="0.3">
      <c r="A4" s="9" t="s">
        <v>283</v>
      </c>
      <c r="B4" s="6" t="s">
        <v>284</v>
      </c>
      <c r="C4" s="6" t="s">
        <v>296</v>
      </c>
      <c r="D4" s="6" t="s">
        <v>297</v>
      </c>
      <c r="I4" t="s">
        <v>298</v>
      </c>
      <c r="J4" s="58" t="s">
        <v>283</v>
      </c>
      <c r="K4" t="s">
        <v>284</v>
      </c>
      <c r="L4" t="s">
        <v>296</v>
      </c>
      <c r="M4" t="s">
        <v>299</v>
      </c>
      <c r="N4" t="s">
        <v>300</v>
      </c>
    </row>
    <row r="5" spans="1:14" x14ac:dyDescent="0.3">
      <c r="A5" s="56" t="s">
        <v>301</v>
      </c>
      <c r="B5" s="55">
        <v>3030.9883601702336</v>
      </c>
      <c r="C5" s="55">
        <v>30166</v>
      </c>
      <c r="D5" s="61">
        <v>0.10047697275642226</v>
      </c>
      <c r="I5">
        <v>1</v>
      </c>
      <c r="J5" s="59" t="s">
        <v>302</v>
      </c>
      <c r="K5" s="60">
        <v>2203.2571388245274</v>
      </c>
      <c r="L5" s="60">
        <v>18795</v>
      </c>
      <c r="M5" s="64">
        <v>0.11722570571027015</v>
      </c>
    </row>
    <row r="6" spans="1:14" x14ac:dyDescent="0.3">
      <c r="A6" s="56" t="s">
        <v>303</v>
      </c>
      <c r="B6" s="55">
        <v>544.39005185201108</v>
      </c>
      <c r="C6" s="55">
        <v>3476</v>
      </c>
      <c r="D6" s="61">
        <v>0.15661393896778225</v>
      </c>
      <c r="I6">
        <v>1</v>
      </c>
      <c r="J6" s="59" t="s">
        <v>75</v>
      </c>
      <c r="K6" s="60">
        <v>7872.5945620772309</v>
      </c>
      <c r="L6" s="60">
        <v>96003</v>
      </c>
      <c r="M6" s="64">
        <v>8.2003630741510486E-2</v>
      </c>
    </row>
    <row r="7" spans="1:14" x14ac:dyDescent="0.3">
      <c r="A7" s="56" t="s">
        <v>304</v>
      </c>
      <c r="B7" s="55">
        <v>1485.9844076141951</v>
      </c>
      <c r="C7" s="55">
        <v>15734</v>
      </c>
      <c r="D7" s="61">
        <v>9.4444159629731475E-2</v>
      </c>
      <c r="I7">
        <v>0.4</v>
      </c>
      <c r="J7" s="59" t="s">
        <v>31</v>
      </c>
      <c r="K7" s="60">
        <v>72413.27427506457</v>
      </c>
      <c r="L7" s="60">
        <v>1165133.7000000004</v>
      </c>
      <c r="M7" s="64">
        <v>6.2150184373745726E-2</v>
      </c>
    </row>
    <row r="8" spans="1:14" x14ac:dyDescent="0.3">
      <c r="A8" s="56" t="s">
        <v>305</v>
      </c>
      <c r="B8" s="55">
        <v>337.24984651386342</v>
      </c>
      <c r="C8" s="55">
        <v>4445</v>
      </c>
      <c r="D8" s="61">
        <v>7.5871731499181874E-2</v>
      </c>
      <c r="I8">
        <v>1</v>
      </c>
      <c r="J8" s="59" t="s">
        <v>44</v>
      </c>
      <c r="K8" s="60">
        <v>95159.520639278198</v>
      </c>
      <c r="L8" s="60">
        <v>1230627</v>
      </c>
      <c r="M8" s="64">
        <v>7.7326046510663424E-2</v>
      </c>
    </row>
    <row r="9" spans="1:14" x14ac:dyDescent="0.3">
      <c r="A9" s="56" t="s">
        <v>306</v>
      </c>
      <c r="B9" s="55">
        <v>884.81429096703118</v>
      </c>
      <c r="C9" s="55">
        <v>7400</v>
      </c>
      <c r="D9" s="61">
        <v>0.11956949877932854</v>
      </c>
      <c r="I9">
        <v>1</v>
      </c>
      <c r="J9" s="59" t="s">
        <v>38</v>
      </c>
      <c r="K9" s="60">
        <v>10135.105528496922</v>
      </c>
      <c r="L9" s="60">
        <v>131720.20000000001</v>
      </c>
      <c r="M9" s="64">
        <v>7.6944200878049998E-2</v>
      </c>
    </row>
    <row r="10" spans="1:14" x14ac:dyDescent="0.3">
      <c r="A10" s="56" t="s">
        <v>146</v>
      </c>
      <c r="B10" s="55">
        <v>1202.2900221630989</v>
      </c>
      <c r="C10" s="55">
        <v>11900</v>
      </c>
      <c r="D10" s="61">
        <v>0.10103277497168899</v>
      </c>
      <c r="I10">
        <v>0.1</v>
      </c>
      <c r="J10" s="59" t="s">
        <v>307</v>
      </c>
      <c r="K10" s="60">
        <v>2205.415990532425</v>
      </c>
      <c r="L10" s="60">
        <v>23153</v>
      </c>
      <c r="M10" s="64">
        <v>9.5254005551437176E-2</v>
      </c>
    </row>
    <row r="11" spans="1:14" x14ac:dyDescent="0.3">
      <c r="A11" s="56" t="s">
        <v>308</v>
      </c>
      <c r="B11" s="55">
        <v>866.6577881861075</v>
      </c>
      <c r="C11" s="55">
        <v>9900</v>
      </c>
      <c r="D11" s="61">
        <v>8.7541190725869439E-2</v>
      </c>
      <c r="I11">
        <v>0.4</v>
      </c>
      <c r="J11" s="59" t="s">
        <v>309</v>
      </c>
      <c r="K11" s="60">
        <v>3655.6399604345524</v>
      </c>
      <c r="L11" s="60">
        <v>35900</v>
      </c>
      <c r="M11" s="64">
        <v>0.10182841115416581</v>
      </c>
    </row>
    <row r="12" spans="1:14" x14ac:dyDescent="0.3">
      <c r="A12" s="56" t="s">
        <v>113</v>
      </c>
      <c r="B12" s="55">
        <v>339.96987230005021</v>
      </c>
      <c r="C12" s="55">
        <v>2465</v>
      </c>
      <c r="D12" s="61">
        <v>0.13791881229210962</v>
      </c>
      <c r="I12">
        <v>1</v>
      </c>
      <c r="J12" s="59" t="s">
        <v>310</v>
      </c>
      <c r="K12" s="60">
        <v>11073.128272005108</v>
      </c>
      <c r="L12" s="60">
        <v>424000</v>
      </c>
      <c r="M12" s="64">
        <v>2.6115868566049784E-2</v>
      </c>
    </row>
    <row r="13" spans="1:14" x14ac:dyDescent="0.3">
      <c r="A13" s="56" t="s">
        <v>109</v>
      </c>
      <c r="B13" s="55">
        <v>17712.691200000027</v>
      </c>
      <c r="C13" s="55"/>
      <c r="D13" s="61" t="e">
        <v>#DIV/0!</v>
      </c>
      <c r="I13">
        <v>1</v>
      </c>
      <c r="J13" s="59" t="s">
        <v>108</v>
      </c>
      <c r="K13" s="60">
        <v>2916.1006541727679</v>
      </c>
      <c r="L13" s="60">
        <v>9450</v>
      </c>
      <c r="M13" s="64">
        <v>0.3085820798066421</v>
      </c>
    </row>
    <row r="14" spans="1:14" x14ac:dyDescent="0.3">
      <c r="A14" s="56" t="s">
        <v>39</v>
      </c>
      <c r="B14" s="55">
        <v>6968.1198802458603</v>
      </c>
      <c r="C14" s="55">
        <v>87188.2</v>
      </c>
      <c r="D14" s="61">
        <v>7.9920446577012264E-2</v>
      </c>
      <c r="I14">
        <v>1</v>
      </c>
      <c r="J14" s="59" t="s">
        <v>68</v>
      </c>
      <c r="K14" s="60">
        <v>5731.4646135045186</v>
      </c>
      <c r="L14" s="60">
        <v>77247</v>
      </c>
      <c r="M14" s="64">
        <v>7.4196598100955621E-2</v>
      </c>
    </row>
    <row r="15" spans="1:14" x14ac:dyDescent="0.3">
      <c r="A15" s="56" t="s">
        <v>95</v>
      </c>
      <c r="B15" s="55">
        <v>487.25301009313171</v>
      </c>
      <c r="C15" s="55">
        <v>6272</v>
      </c>
      <c r="D15" s="61">
        <v>7.7687023292910024E-2</v>
      </c>
      <c r="I15">
        <v>1</v>
      </c>
      <c r="J15" s="59" t="s">
        <v>311</v>
      </c>
      <c r="K15" s="60">
        <v>5501.0318218267939</v>
      </c>
      <c r="L15" s="60">
        <v>69357</v>
      </c>
      <c r="M15" s="64">
        <v>7.9314731344014219E-2</v>
      </c>
    </row>
    <row r="16" spans="1:14" x14ac:dyDescent="0.3">
      <c r="A16" s="56" t="s">
        <v>312</v>
      </c>
      <c r="B16" s="55">
        <v>447.50851998479686</v>
      </c>
      <c r="C16" s="55">
        <v>3060</v>
      </c>
      <c r="D16" s="61">
        <v>0.14624461437411662</v>
      </c>
      <c r="I16">
        <v>1</v>
      </c>
      <c r="J16" s="59" t="s">
        <v>35</v>
      </c>
      <c r="K16" s="60">
        <v>69889.242002608749</v>
      </c>
      <c r="L16" s="60">
        <v>781961.3</v>
      </c>
      <c r="M16" s="64">
        <v>8.9376855354106069E-2</v>
      </c>
    </row>
    <row r="17" spans="1:13" x14ac:dyDescent="0.3">
      <c r="A17" s="56" t="s">
        <v>313</v>
      </c>
      <c r="B17" s="55">
        <v>213.76418639780107</v>
      </c>
      <c r="C17" s="55">
        <v>1495</v>
      </c>
      <c r="D17" s="61">
        <v>0.14298607785806092</v>
      </c>
      <c r="I17">
        <v>1</v>
      </c>
      <c r="J17" s="59" t="s">
        <v>85</v>
      </c>
      <c r="K17" s="60">
        <v>1687.4289831086976</v>
      </c>
      <c r="L17" s="60">
        <v>18476</v>
      </c>
      <c r="M17" s="64">
        <v>9.1330860744138209E-2</v>
      </c>
    </row>
    <row r="18" spans="1:13" x14ac:dyDescent="0.3">
      <c r="A18" s="56" t="s">
        <v>103</v>
      </c>
      <c r="B18" s="55">
        <v>173.48901968324589</v>
      </c>
      <c r="C18" s="55">
        <v>2720</v>
      </c>
      <c r="D18" s="61">
        <v>6.3782727824722746E-2</v>
      </c>
      <c r="I18">
        <v>1</v>
      </c>
      <c r="J18" s="59" t="s">
        <v>314</v>
      </c>
      <c r="K18" s="60">
        <v>2556.6306671511279</v>
      </c>
      <c r="L18" s="60">
        <v>27074</v>
      </c>
      <c r="M18" s="64">
        <v>9.4431213235987591E-2</v>
      </c>
    </row>
    <row r="19" spans="1:13" x14ac:dyDescent="0.3">
      <c r="A19" s="56" t="s">
        <v>107</v>
      </c>
      <c r="B19" s="55">
        <v>6082.301174896168</v>
      </c>
      <c r="C19" s="55">
        <v>97013.79</v>
      </c>
      <c r="D19" s="61">
        <v>6.2695222760559791E-2</v>
      </c>
      <c r="J19" s="59" t="s">
        <v>294</v>
      </c>
      <c r="K19" s="60">
        <v>292999.83510908618</v>
      </c>
      <c r="L19" s="60">
        <v>4108897.2</v>
      </c>
      <c r="M19" s="64">
        <v>7.1308631208657686E-2</v>
      </c>
    </row>
    <row r="20" spans="1:13" x14ac:dyDescent="0.3">
      <c r="A20" s="56" t="s">
        <v>315</v>
      </c>
      <c r="B20" s="55">
        <v>2237.22030685358</v>
      </c>
      <c r="C20" s="55">
        <v>22237</v>
      </c>
      <c r="D20" s="61">
        <v>0.10060800948210551</v>
      </c>
    </row>
    <row r="21" spans="1:13" x14ac:dyDescent="0.3">
      <c r="A21" s="56" t="s">
        <v>56</v>
      </c>
      <c r="B21" s="55">
        <v>704.71837774153039</v>
      </c>
      <c r="C21" s="55">
        <v>4240</v>
      </c>
      <c r="D21" s="61">
        <v>0.16620716456168169</v>
      </c>
    </row>
    <row r="22" spans="1:13" x14ac:dyDescent="0.3">
      <c r="A22" s="56" t="s">
        <v>249</v>
      </c>
      <c r="B22" s="55">
        <v>1195.3393772473789</v>
      </c>
      <c r="C22" s="55">
        <v>9524</v>
      </c>
      <c r="D22" s="61">
        <v>0.12550812444848583</v>
      </c>
    </row>
    <row r="23" spans="1:13" x14ac:dyDescent="0.3">
      <c r="A23" s="56" t="s">
        <v>91</v>
      </c>
      <c r="B23" s="55">
        <v>6075.570953672619</v>
      </c>
      <c r="C23" s="55">
        <v>67559.5</v>
      </c>
      <c r="D23" s="61">
        <v>8.9929187659361295E-2</v>
      </c>
      <c r="I23" t="s">
        <v>316</v>
      </c>
    </row>
    <row r="24" spans="1:13" x14ac:dyDescent="0.3">
      <c r="A24" s="56" t="s">
        <v>317</v>
      </c>
      <c r="B24" s="55">
        <v>263.17109614201433</v>
      </c>
      <c r="C24" s="55">
        <v>1300</v>
      </c>
      <c r="D24" s="61">
        <v>0.2024393047246264</v>
      </c>
      <c r="I24" t="s">
        <v>318</v>
      </c>
    </row>
    <row r="25" spans="1:13" x14ac:dyDescent="0.3">
      <c r="A25" s="56" t="s">
        <v>319</v>
      </c>
      <c r="B25" s="55">
        <v>454.63493713988601</v>
      </c>
      <c r="C25" s="55">
        <v>5000</v>
      </c>
      <c r="D25" s="61">
        <v>9.0926987427977196E-2</v>
      </c>
    </row>
    <row r="26" spans="1:13" x14ac:dyDescent="0.3">
      <c r="A26" s="56" t="s">
        <v>99</v>
      </c>
      <c r="B26" s="55">
        <v>1509.5034924225213</v>
      </c>
      <c r="C26" s="55">
        <v>9063</v>
      </c>
      <c r="D26" s="61">
        <v>0.16655671327623539</v>
      </c>
    </row>
    <row r="27" spans="1:13" x14ac:dyDescent="0.3">
      <c r="A27" s="56" t="s">
        <v>320</v>
      </c>
      <c r="B27" s="55">
        <v>616.79213070071478</v>
      </c>
      <c r="C27" s="55">
        <v>7203</v>
      </c>
      <c r="D27" s="61">
        <v>8.5629894585688565E-2</v>
      </c>
    </row>
    <row r="28" spans="1:13" x14ac:dyDescent="0.3">
      <c r="A28" s="56" t="s">
        <v>76</v>
      </c>
      <c r="B28" s="55">
        <v>26630.534935519427</v>
      </c>
      <c r="C28" s="55">
        <v>413392.25999999995</v>
      </c>
      <c r="D28" s="61">
        <v>6.4419529614607271E-2</v>
      </c>
    </row>
    <row r="29" spans="1:13" x14ac:dyDescent="0.3">
      <c r="A29" s="56" t="s">
        <v>42</v>
      </c>
      <c r="B29" s="55">
        <v>10876.629157011019</v>
      </c>
      <c r="C29" s="55">
        <v>128727</v>
      </c>
      <c r="D29" s="61">
        <v>8.4493767096343569E-2</v>
      </c>
    </row>
    <row r="30" spans="1:13" x14ac:dyDescent="0.3">
      <c r="A30" s="56" t="s">
        <v>321</v>
      </c>
      <c r="B30" s="55">
        <v>537.36293713988596</v>
      </c>
      <c r="C30" s="55">
        <v>5000</v>
      </c>
      <c r="D30" s="61">
        <v>0.10747258742797719</v>
      </c>
    </row>
    <row r="31" spans="1:13" x14ac:dyDescent="0.3">
      <c r="A31" s="56" t="s">
        <v>322</v>
      </c>
      <c r="B31" s="55">
        <v>781.57128456786313</v>
      </c>
      <c r="C31" s="55">
        <v>6000</v>
      </c>
      <c r="D31" s="61">
        <v>0.13026188076131051</v>
      </c>
    </row>
    <row r="32" spans="1:13" x14ac:dyDescent="0.3">
      <c r="A32" s="56" t="s">
        <v>323</v>
      </c>
      <c r="B32" s="55">
        <v>1245.0638078919465</v>
      </c>
      <c r="C32" s="55">
        <v>10897</v>
      </c>
      <c r="D32" s="61">
        <v>0.11425748443534427</v>
      </c>
    </row>
    <row r="33" spans="1:4" x14ac:dyDescent="0.3">
      <c r="A33" s="56" t="s">
        <v>101</v>
      </c>
      <c r="B33" s="55">
        <v>836.5055071053813</v>
      </c>
      <c r="C33" s="55">
        <v>9739.2999999999993</v>
      </c>
      <c r="D33" s="61">
        <v>8.5889695060772472E-2</v>
      </c>
    </row>
    <row r="34" spans="1:4" x14ac:dyDescent="0.3">
      <c r="A34" s="56" t="s">
        <v>130</v>
      </c>
      <c r="B34" s="55">
        <v>1827.3575893880873</v>
      </c>
      <c r="C34" s="55">
        <v>25604</v>
      </c>
      <c r="D34" s="61">
        <v>7.137000427230461E-2</v>
      </c>
    </row>
    <row r="35" spans="1:4" x14ac:dyDescent="0.3">
      <c r="A35" s="56" t="s">
        <v>121</v>
      </c>
      <c r="B35" s="55">
        <v>4424.9089826215341</v>
      </c>
      <c r="C35" s="55">
        <v>42651</v>
      </c>
      <c r="D35" s="61">
        <v>0.1037468988446117</v>
      </c>
    </row>
    <row r="36" spans="1:4" x14ac:dyDescent="0.3">
      <c r="A36" s="56" t="s">
        <v>324</v>
      </c>
      <c r="B36" s="55">
        <v>223.92023588476351</v>
      </c>
      <c r="C36" s="55">
        <v>1600</v>
      </c>
      <c r="D36" s="61">
        <v>0.13995014742797721</v>
      </c>
    </row>
    <row r="37" spans="1:4" x14ac:dyDescent="0.3">
      <c r="A37" s="56" t="s">
        <v>325</v>
      </c>
      <c r="B37" s="55">
        <v>395.95866185684827</v>
      </c>
      <c r="C37" s="55">
        <v>4876</v>
      </c>
      <c r="D37" s="61">
        <v>8.1205632046113266E-2</v>
      </c>
    </row>
    <row r="38" spans="1:4" x14ac:dyDescent="0.3">
      <c r="A38" s="56" t="s">
        <v>326</v>
      </c>
      <c r="B38" s="55">
        <v>406.90347586417352</v>
      </c>
      <c r="C38" s="55">
        <v>1028</v>
      </c>
      <c r="D38" s="61">
        <v>0.39582050181339834</v>
      </c>
    </row>
    <row r="39" spans="1:4" x14ac:dyDescent="0.3">
      <c r="A39" s="56" t="s">
        <v>64</v>
      </c>
      <c r="B39" s="55">
        <v>469.84632178472884</v>
      </c>
      <c r="C39" s="55">
        <v>5195</v>
      </c>
      <c r="D39" s="61">
        <v>9.0442025367609022E-2</v>
      </c>
    </row>
    <row r="40" spans="1:4" x14ac:dyDescent="0.3">
      <c r="A40" s="56" t="s">
        <v>78</v>
      </c>
      <c r="B40" s="55">
        <v>384.43772165157043</v>
      </c>
      <c r="C40" s="55">
        <v>2992</v>
      </c>
      <c r="D40" s="61">
        <v>0.12848854333274412</v>
      </c>
    </row>
    <row r="41" spans="1:4" x14ac:dyDescent="0.3">
      <c r="A41" s="56" t="s">
        <v>327</v>
      </c>
      <c r="B41" s="55">
        <v>6789.3024878797323</v>
      </c>
      <c r="C41" s="55">
        <v>98382</v>
      </c>
      <c r="D41" s="61">
        <v>6.9009600210198335E-2</v>
      </c>
    </row>
    <row r="42" spans="1:4" x14ac:dyDescent="0.3">
      <c r="A42" s="56" t="s">
        <v>328</v>
      </c>
      <c r="B42" s="55">
        <v>301.94356670135824</v>
      </c>
      <c r="C42" s="55">
        <v>956</v>
      </c>
      <c r="D42" s="61">
        <v>0.31584055094284336</v>
      </c>
    </row>
    <row r="43" spans="1:4" x14ac:dyDescent="0.3">
      <c r="A43" s="56" t="s">
        <v>329</v>
      </c>
      <c r="B43" s="55">
        <v>4350.1781801027309</v>
      </c>
      <c r="C43" s="55">
        <v>42835</v>
      </c>
      <c r="D43" s="61">
        <v>0.10155662846043495</v>
      </c>
    </row>
    <row r="44" spans="1:4" x14ac:dyDescent="0.3">
      <c r="A44" s="56" t="s">
        <v>330</v>
      </c>
      <c r="B44" s="55">
        <v>780.17432685179472</v>
      </c>
      <c r="C44" s="55">
        <v>9000</v>
      </c>
      <c r="D44" s="61">
        <v>8.6686036316866083E-2</v>
      </c>
    </row>
    <row r="45" spans="1:4" x14ac:dyDescent="0.3">
      <c r="A45" s="56" t="s">
        <v>125</v>
      </c>
      <c r="B45" s="55">
        <v>17773.778200556149</v>
      </c>
      <c r="C45" s="55">
        <v>318348.61</v>
      </c>
      <c r="D45" s="61">
        <v>5.5831178909674366E-2</v>
      </c>
    </row>
    <row r="46" spans="1:4" x14ac:dyDescent="0.3">
      <c r="A46" s="56" t="s">
        <v>108</v>
      </c>
      <c r="B46" s="55">
        <v>0</v>
      </c>
      <c r="C46" s="55"/>
      <c r="D46" s="61" t="e">
        <v>#DIV/0!</v>
      </c>
    </row>
    <row r="47" spans="1:4" x14ac:dyDescent="0.3">
      <c r="A47" s="56" t="s">
        <v>331</v>
      </c>
      <c r="B47" s="55">
        <v>109.72</v>
      </c>
      <c r="C47" s="55"/>
      <c r="D47" s="61" t="e">
        <v>#DIV/0!</v>
      </c>
    </row>
    <row r="48" spans="1:4" x14ac:dyDescent="0.3">
      <c r="A48" s="56" t="s">
        <v>332</v>
      </c>
      <c r="B48" s="55">
        <v>1613.615346546253</v>
      </c>
      <c r="C48" s="55">
        <v>13712</v>
      </c>
      <c r="D48" s="61">
        <v>0.11767906552991927</v>
      </c>
    </row>
    <row r="49" spans="1:4" x14ac:dyDescent="0.3">
      <c r="A49" s="56" t="s">
        <v>333</v>
      </c>
      <c r="B49" s="55">
        <v>1206.3864639916808</v>
      </c>
      <c r="C49" s="55">
        <v>14000</v>
      </c>
      <c r="D49" s="61">
        <v>8.6170461713691485E-2</v>
      </c>
    </row>
    <row r="50" spans="1:4" x14ac:dyDescent="0.3">
      <c r="A50" s="56" t="s">
        <v>93</v>
      </c>
      <c r="B50" s="55">
        <v>2894.5256366954436</v>
      </c>
      <c r="C50" s="55">
        <v>53447</v>
      </c>
      <c r="D50" s="61">
        <v>5.4156933723042332E-2</v>
      </c>
    </row>
    <row r="51" spans="1:4" x14ac:dyDescent="0.3">
      <c r="A51" s="56" t="s">
        <v>334</v>
      </c>
      <c r="B51" s="55">
        <v>819.97945188268363</v>
      </c>
      <c r="C51" s="55">
        <v>5100</v>
      </c>
      <c r="D51" s="61">
        <v>0.16078028468287914</v>
      </c>
    </row>
    <row r="52" spans="1:4" x14ac:dyDescent="0.3">
      <c r="A52" s="56" t="s">
        <v>36</v>
      </c>
      <c r="B52" s="55">
        <v>4452.2032258198988</v>
      </c>
      <c r="C52" s="55">
        <v>58695</v>
      </c>
      <c r="D52" s="61">
        <v>7.5853194067976804E-2</v>
      </c>
    </row>
    <row r="53" spans="1:4" x14ac:dyDescent="0.3">
      <c r="A53" s="56" t="s">
        <v>335</v>
      </c>
      <c r="B53" s="55">
        <v>453.46296836195665</v>
      </c>
      <c r="C53" s="55">
        <v>4440</v>
      </c>
      <c r="D53" s="61">
        <v>0.10213129918062087</v>
      </c>
    </row>
    <row r="54" spans="1:4" x14ac:dyDescent="0.3">
      <c r="A54" s="56" t="s">
        <v>336</v>
      </c>
      <c r="B54" s="55">
        <v>2381.8054150643734</v>
      </c>
      <c r="C54" s="55">
        <v>19167</v>
      </c>
      <c r="D54" s="61">
        <v>0.12426594746514183</v>
      </c>
    </row>
    <row r="55" spans="1:4" x14ac:dyDescent="0.3">
      <c r="A55" s="56" t="s">
        <v>337</v>
      </c>
      <c r="B55" s="55">
        <v>375.31050718159315</v>
      </c>
      <c r="C55" s="55">
        <v>1600</v>
      </c>
      <c r="D55" s="61">
        <v>0.23456906698849572</v>
      </c>
    </row>
    <row r="56" spans="1:4" x14ac:dyDescent="0.3">
      <c r="A56" s="56" t="s">
        <v>164</v>
      </c>
      <c r="B56" s="55">
        <v>1047.6093207972963</v>
      </c>
      <c r="C56" s="55">
        <v>4550</v>
      </c>
      <c r="D56" s="61">
        <v>0.23024380676863654</v>
      </c>
    </row>
    <row r="57" spans="1:4" x14ac:dyDescent="0.3">
      <c r="A57" s="56" t="s">
        <v>139</v>
      </c>
      <c r="B57" s="55">
        <v>15082.30788417925</v>
      </c>
      <c r="C57" s="55">
        <v>236420.18000000002</v>
      </c>
      <c r="D57" s="61">
        <v>6.3794503008073378E-2</v>
      </c>
    </row>
    <row r="58" spans="1:4" x14ac:dyDescent="0.3">
      <c r="A58" s="56" t="s">
        <v>338</v>
      </c>
      <c r="B58" s="55">
        <v>577.49777389519136</v>
      </c>
      <c r="C58" s="55">
        <v>2678</v>
      </c>
      <c r="D58" s="61">
        <v>0.21564517322449267</v>
      </c>
    </row>
    <row r="59" spans="1:4" x14ac:dyDescent="0.3">
      <c r="A59" s="56" t="s">
        <v>339</v>
      </c>
      <c r="B59" s="55">
        <v>1491.9607912834558</v>
      </c>
      <c r="C59" s="55">
        <v>10905</v>
      </c>
      <c r="D59" s="61">
        <v>0.13681437792603904</v>
      </c>
    </row>
    <row r="60" spans="1:4" x14ac:dyDescent="0.3">
      <c r="A60" s="56" t="s">
        <v>340</v>
      </c>
      <c r="B60" s="55">
        <v>2012.3394303100149</v>
      </c>
      <c r="C60" s="55">
        <v>18726.5</v>
      </c>
      <c r="D60" s="61">
        <v>0.10745945212987024</v>
      </c>
    </row>
    <row r="61" spans="1:4" x14ac:dyDescent="0.3">
      <c r="A61" s="56" t="s">
        <v>62</v>
      </c>
      <c r="B61" s="55">
        <v>1127.2638254104113</v>
      </c>
      <c r="C61" s="55">
        <v>16365</v>
      </c>
      <c r="D61" s="61">
        <v>6.8882604669136038E-2</v>
      </c>
    </row>
    <row r="62" spans="1:4" x14ac:dyDescent="0.3">
      <c r="A62" s="56" t="s">
        <v>82</v>
      </c>
      <c r="B62" s="55">
        <v>6639.0321613841297</v>
      </c>
      <c r="C62" s="55">
        <v>78265</v>
      </c>
      <c r="D62" s="61">
        <v>8.482760060543193E-2</v>
      </c>
    </row>
    <row r="63" spans="1:4" x14ac:dyDescent="0.3">
      <c r="A63" s="56" t="s">
        <v>218</v>
      </c>
      <c r="B63" s="55">
        <v>6552.4629356173682</v>
      </c>
      <c r="C63" s="55">
        <v>69856</v>
      </c>
      <c r="D63" s="61">
        <v>9.3799572486506069E-2</v>
      </c>
    </row>
    <row r="64" spans="1:4" x14ac:dyDescent="0.3">
      <c r="A64" s="56" t="s">
        <v>97</v>
      </c>
      <c r="B64" s="55">
        <v>8034.290202935892</v>
      </c>
      <c r="C64" s="55">
        <v>99133</v>
      </c>
      <c r="D64" s="61">
        <v>8.1045567096081947E-2</v>
      </c>
    </row>
    <row r="65" spans="1:4" x14ac:dyDescent="0.3">
      <c r="A65" s="56" t="s">
        <v>341</v>
      </c>
      <c r="B65" s="55">
        <v>857.81451085387448</v>
      </c>
      <c r="C65" s="55">
        <v>5500</v>
      </c>
      <c r="D65" s="61">
        <v>0.15596627470070445</v>
      </c>
    </row>
    <row r="66" spans="1:4" x14ac:dyDescent="0.3">
      <c r="A66" s="56" t="s">
        <v>342</v>
      </c>
      <c r="B66" s="55">
        <v>111.34671794238176</v>
      </c>
      <c r="C66" s="55">
        <v>800</v>
      </c>
      <c r="D66" s="61">
        <v>0.1391833974279772</v>
      </c>
    </row>
    <row r="67" spans="1:4" x14ac:dyDescent="0.3">
      <c r="A67" s="56" t="s">
        <v>69</v>
      </c>
      <c r="B67" s="55">
        <v>7064.1538541106311</v>
      </c>
      <c r="C67" s="55">
        <v>138644.41999999998</v>
      </c>
      <c r="D67" s="61">
        <v>5.0951591518148598E-2</v>
      </c>
    </row>
    <row r="68" spans="1:4" x14ac:dyDescent="0.3">
      <c r="A68" s="56" t="s">
        <v>32</v>
      </c>
      <c r="B68" s="55">
        <v>3074.6728239664999</v>
      </c>
      <c r="C68" s="55">
        <v>26512</v>
      </c>
      <c r="D68" s="61">
        <v>0.1159728735654232</v>
      </c>
    </row>
    <row r="69" spans="1:4" x14ac:dyDescent="0.3">
      <c r="A69" s="56" t="s">
        <v>343</v>
      </c>
      <c r="B69" s="55">
        <v>1281.6932870661067</v>
      </c>
      <c r="C69" s="55">
        <v>10454</v>
      </c>
      <c r="D69" s="61">
        <v>0.12260314588349978</v>
      </c>
    </row>
    <row r="70" spans="1:4" x14ac:dyDescent="0.3">
      <c r="A70" s="56" t="s">
        <v>86</v>
      </c>
      <c r="B70" s="55">
        <v>2806.5475161215218</v>
      </c>
      <c r="C70" s="55">
        <v>105676.04000000001</v>
      </c>
      <c r="D70" s="61">
        <v>2.6558030714639965E-2</v>
      </c>
    </row>
    <row r="71" spans="1:4" x14ac:dyDescent="0.3">
      <c r="A71" s="56" t="s">
        <v>344</v>
      </c>
      <c r="B71" s="55">
        <v>460.85367176952707</v>
      </c>
      <c r="C71" s="55">
        <v>3200</v>
      </c>
      <c r="D71" s="61">
        <v>0.1440167724279772</v>
      </c>
    </row>
    <row r="72" spans="1:4" x14ac:dyDescent="0.3">
      <c r="A72" s="56" t="s">
        <v>49</v>
      </c>
      <c r="B72" s="55">
        <v>2053.9617578507473</v>
      </c>
      <c r="C72" s="55">
        <v>22118</v>
      </c>
      <c r="D72" s="61">
        <v>9.28638103739374E-2</v>
      </c>
    </row>
    <row r="73" spans="1:4" x14ac:dyDescent="0.3">
      <c r="A73" s="56" t="s">
        <v>345</v>
      </c>
      <c r="B73" s="55">
        <v>917.67082404110306</v>
      </c>
      <c r="C73" s="55">
        <v>7760</v>
      </c>
      <c r="D73" s="61">
        <v>0.11825654948983287</v>
      </c>
    </row>
    <row r="74" spans="1:4" x14ac:dyDescent="0.3">
      <c r="A74" s="56" t="s">
        <v>346</v>
      </c>
      <c r="B74" s="55">
        <v>367.18773239348764</v>
      </c>
      <c r="C74" s="55">
        <v>2926</v>
      </c>
      <c r="D74" s="61">
        <v>0.12549136445437034</v>
      </c>
    </row>
    <row r="75" spans="1:4" x14ac:dyDescent="0.3">
      <c r="A75" s="56" t="s">
        <v>105</v>
      </c>
      <c r="B75" s="55">
        <v>2165.7363038026992</v>
      </c>
      <c r="C75" s="55">
        <v>45640</v>
      </c>
      <c r="D75" s="61">
        <v>4.745259210785932E-2</v>
      </c>
    </row>
    <row r="76" spans="1:4" x14ac:dyDescent="0.3">
      <c r="A76" s="56" t="s">
        <v>347</v>
      </c>
      <c r="B76" s="55">
        <v>704.49963514235696</v>
      </c>
      <c r="C76" s="55">
        <v>4688</v>
      </c>
      <c r="D76" s="61">
        <v>0.15027722592627069</v>
      </c>
    </row>
    <row r="77" spans="1:4" x14ac:dyDescent="0.3">
      <c r="A77" s="56" t="s">
        <v>348</v>
      </c>
      <c r="B77" s="55">
        <v>3737.0327213927476</v>
      </c>
      <c r="C77" s="55">
        <v>35400</v>
      </c>
      <c r="D77" s="61">
        <v>0.10556589608454089</v>
      </c>
    </row>
    <row r="78" spans="1:4" x14ac:dyDescent="0.3">
      <c r="A78" s="56" t="s">
        <v>58</v>
      </c>
      <c r="B78" s="55">
        <v>1347.6344831726503</v>
      </c>
      <c r="C78" s="55">
        <v>21248</v>
      </c>
      <c r="D78" s="61">
        <v>6.3424062649315244E-2</v>
      </c>
    </row>
    <row r="79" spans="1:4" x14ac:dyDescent="0.3">
      <c r="A79" s="56" t="s">
        <v>349</v>
      </c>
      <c r="B79" s="55">
        <v>712.41686468101989</v>
      </c>
      <c r="C79" s="55">
        <v>7900</v>
      </c>
      <c r="D79" s="61">
        <v>9.0179349959622776E-2</v>
      </c>
    </row>
    <row r="80" spans="1:4" x14ac:dyDescent="0.3">
      <c r="A80" s="56" t="s">
        <v>350</v>
      </c>
      <c r="B80" s="55">
        <v>900.06932682766887</v>
      </c>
      <c r="C80" s="55">
        <v>9059</v>
      </c>
      <c r="D80" s="61">
        <v>9.9356366798506332E-2</v>
      </c>
    </row>
    <row r="81" spans="1:4" x14ac:dyDescent="0.3">
      <c r="A81" s="56" t="s">
        <v>221</v>
      </c>
      <c r="B81" s="55">
        <v>4391.6059706512906</v>
      </c>
      <c r="C81" s="55">
        <v>38115</v>
      </c>
      <c r="D81" s="61">
        <v>0.11521988641351937</v>
      </c>
    </row>
    <row r="82" spans="1:4" x14ac:dyDescent="0.3">
      <c r="A82" s="56" t="s">
        <v>110</v>
      </c>
      <c r="B82" s="55">
        <v>27589.252199999984</v>
      </c>
      <c r="C82" s="55"/>
      <c r="D82" s="61" t="e">
        <v>#DIV/0!</v>
      </c>
    </row>
    <row r="83" spans="1:4" x14ac:dyDescent="0.3">
      <c r="A83" s="56" t="s">
        <v>351</v>
      </c>
      <c r="B83" s="55">
        <v>671.30774271856706</v>
      </c>
      <c r="C83" s="55">
        <v>5340</v>
      </c>
      <c r="D83" s="61">
        <v>0.12571306043418859</v>
      </c>
    </row>
    <row r="84" spans="1:4" x14ac:dyDescent="0.3">
      <c r="A84" s="56" t="s">
        <v>80</v>
      </c>
      <c r="B84" s="55">
        <v>1189.304783009989</v>
      </c>
      <c r="C84" s="55">
        <v>13300</v>
      </c>
      <c r="D84" s="61">
        <v>8.9421412256390151E-2</v>
      </c>
    </row>
    <row r="85" spans="1:4" x14ac:dyDescent="0.3">
      <c r="A85" s="56" t="s">
        <v>71</v>
      </c>
      <c r="B85" s="55">
        <v>1274.9429772972921</v>
      </c>
      <c r="C85" s="55">
        <v>19420</v>
      </c>
      <c r="D85" s="61">
        <v>6.5651028697079922E-2</v>
      </c>
    </row>
    <row r="86" spans="1:4" x14ac:dyDescent="0.3">
      <c r="A86" s="56" t="s">
        <v>155</v>
      </c>
      <c r="B86" s="55">
        <v>1198</v>
      </c>
      <c r="C86" s="55">
        <v>0</v>
      </c>
      <c r="D86" s="61" t="e">
        <v>#DIV/0!</v>
      </c>
    </row>
    <row r="87" spans="1:4" x14ac:dyDescent="0.3">
      <c r="A87" s="56" t="s">
        <v>352</v>
      </c>
      <c r="B87" s="55">
        <v>40.630000000000003</v>
      </c>
      <c r="C87" s="55"/>
      <c r="D87" s="61" t="e">
        <v>#DIV/0!</v>
      </c>
    </row>
    <row r="88" spans="1:4" x14ac:dyDescent="0.3">
      <c r="A88" s="56" t="s">
        <v>353</v>
      </c>
      <c r="B88" s="55">
        <v>180</v>
      </c>
      <c r="C88" s="55"/>
      <c r="D88" s="61" t="e">
        <v>#DIV/0!</v>
      </c>
    </row>
    <row r="89" spans="1:4" x14ac:dyDescent="0.3">
      <c r="A89" s="56" t="s">
        <v>354</v>
      </c>
      <c r="B89" s="55">
        <v>434</v>
      </c>
      <c r="C89" s="55"/>
      <c r="D89" s="61" t="e">
        <v>#DIV/0!</v>
      </c>
    </row>
    <row r="90" spans="1:4" x14ac:dyDescent="0.3">
      <c r="A90" s="56" t="s">
        <v>355</v>
      </c>
      <c r="B90" s="55">
        <v>586.42608456786309</v>
      </c>
      <c r="C90" s="55">
        <v>6000</v>
      </c>
      <c r="D90" s="61">
        <v>9.7737680761310508E-2</v>
      </c>
    </row>
    <row r="91" spans="1:4" x14ac:dyDescent="0.3">
      <c r="A91" s="56" t="s">
        <v>168</v>
      </c>
      <c r="B91" s="55">
        <v>4532.2536544915392</v>
      </c>
      <c r="C91" s="55">
        <v>60281</v>
      </c>
      <c r="D91" s="61">
        <v>7.5185442419527529E-2</v>
      </c>
    </row>
    <row r="92" spans="1:4" x14ac:dyDescent="0.3">
      <c r="A92" s="56" t="s">
        <v>45</v>
      </c>
      <c r="B92" s="55">
        <v>2468.4954964918766</v>
      </c>
      <c r="C92" s="55">
        <v>38838</v>
      </c>
      <c r="D92" s="61">
        <v>6.3558769671246629E-2</v>
      </c>
    </row>
    <row r="93" spans="1:4" x14ac:dyDescent="0.3">
      <c r="A93" s="56" t="s">
        <v>356</v>
      </c>
      <c r="B93" s="55">
        <v>1829.8860247313964</v>
      </c>
      <c r="C93" s="55">
        <v>21175</v>
      </c>
      <c r="D93" s="61">
        <v>8.6417285701600774E-2</v>
      </c>
    </row>
    <row r="94" spans="1:4" x14ac:dyDescent="0.3">
      <c r="A94" s="56" t="s">
        <v>53</v>
      </c>
      <c r="B94" s="55">
        <v>1001.3484788957579</v>
      </c>
      <c r="C94" s="55">
        <v>12071</v>
      </c>
      <c r="D94" s="61">
        <v>8.2954890141310411E-2</v>
      </c>
    </row>
    <row r="95" spans="1:4" x14ac:dyDescent="0.3">
      <c r="A95" s="56" t="s">
        <v>357</v>
      </c>
      <c r="B95" s="55">
        <v>827.98018082758415</v>
      </c>
      <c r="C95" s="55">
        <v>7077</v>
      </c>
      <c r="D95" s="61">
        <v>0.11699592776990027</v>
      </c>
    </row>
    <row r="96" spans="1:4" x14ac:dyDescent="0.3">
      <c r="A96" s="56" t="s">
        <v>358</v>
      </c>
      <c r="B96" s="55">
        <v>487.87858971190883</v>
      </c>
      <c r="C96" s="55">
        <v>4000</v>
      </c>
      <c r="D96" s="61">
        <v>0.12196964742797721</v>
      </c>
    </row>
    <row r="97" spans="1:4" x14ac:dyDescent="0.3">
      <c r="A97" s="56" t="s">
        <v>359</v>
      </c>
      <c r="B97" s="55">
        <v>366.38908491253267</v>
      </c>
      <c r="C97" s="55">
        <v>2950</v>
      </c>
      <c r="D97" s="61">
        <v>0.12419968980085853</v>
      </c>
    </row>
    <row r="98" spans="1:4" x14ac:dyDescent="0.3">
      <c r="A98" s="56" t="s">
        <v>360</v>
      </c>
      <c r="B98" s="55">
        <v>1257.5622277333653</v>
      </c>
      <c r="C98" s="55">
        <v>17310</v>
      </c>
      <c r="D98" s="61">
        <v>7.2649464340460157E-2</v>
      </c>
    </row>
    <row r="99" spans="1:4" x14ac:dyDescent="0.3">
      <c r="A99" s="56" t="s">
        <v>361</v>
      </c>
      <c r="B99" s="55">
        <v>2020.041567970206</v>
      </c>
      <c r="C99" s="55">
        <v>16816</v>
      </c>
      <c r="D99" s="61">
        <v>0.12012616365189141</v>
      </c>
    </row>
    <row r="100" spans="1:4" x14ac:dyDescent="0.3">
      <c r="A100" s="56" t="s">
        <v>362</v>
      </c>
      <c r="B100" s="55">
        <v>352.47857513638746</v>
      </c>
      <c r="C100" s="55">
        <v>6260</v>
      </c>
      <c r="D100" s="61">
        <v>5.6306481651180108E-2</v>
      </c>
    </row>
    <row r="101" spans="1:4" x14ac:dyDescent="0.3">
      <c r="A101" s="56" t="s">
        <v>363</v>
      </c>
      <c r="B101" s="55">
        <v>697.16840897748409</v>
      </c>
      <c r="C101" s="55">
        <v>7875</v>
      </c>
      <c r="D101" s="61">
        <v>8.852932177491861E-2</v>
      </c>
    </row>
    <row r="102" spans="1:4" x14ac:dyDescent="0.3">
      <c r="A102" s="56" t="s">
        <v>364</v>
      </c>
      <c r="B102" s="55">
        <v>182.18784961821433</v>
      </c>
      <c r="C102" s="55">
        <v>2823</v>
      </c>
      <c r="D102" s="61">
        <v>6.4536964087217263E-2</v>
      </c>
    </row>
    <row r="103" spans="1:4" x14ac:dyDescent="0.3">
      <c r="A103" s="56" t="s">
        <v>365</v>
      </c>
      <c r="B103" s="55">
        <v>1307.6433762592212</v>
      </c>
      <c r="C103" s="55">
        <v>14262.5</v>
      </c>
      <c r="D103" s="61">
        <v>9.1684022875317878E-2</v>
      </c>
    </row>
    <row r="104" spans="1:4" x14ac:dyDescent="0.3">
      <c r="A104" s="56" t="s">
        <v>366</v>
      </c>
      <c r="B104" s="55">
        <v>1002.0379361309714</v>
      </c>
      <c r="C104" s="55">
        <v>14150</v>
      </c>
      <c r="D104" s="61">
        <v>7.0815401846711756E-2</v>
      </c>
    </row>
    <row r="105" spans="1:4" x14ac:dyDescent="0.3">
      <c r="A105" s="56" t="s">
        <v>367</v>
      </c>
      <c r="B105" s="55">
        <v>1003.4856825296299</v>
      </c>
      <c r="C105" s="55">
        <v>5026</v>
      </c>
      <c r="D105" s="61">
        <v>0.19965891017302625</v>
      </c>
    </row>
    <row r="106" spans="1:4" x14ac:dyDescent="0.3">
      <c r="A106" s="56" t="s">
        <v>368</v>
      </c>
      <c r="B106" s="55">
        <v>614.31550359296932</v>
      </c>
      <c r="C106" s="55">
        <v>5257</v>
      </c>
      <c r="D106" s="61">
        <v>0.11685666798420569</v>
      </c>
    </row>
    <row r="107" spans="1:4" x14ac:dyDescent="0.3">
      <c r="A107" s="56" t="s">
        <v>369</v>
      </c>
      <c r="B107" s="55">
        <v>350.94782434083379</v>
      </c>
      <c r="C107" s="55">
        <v>3106</v>
      </c>
      <c r="D107" s="61">
        <v>0.11299028472016542</v>
      </c>
    </row>
    <row r="108" spans="1:4" x14ac:dyDescent="0.3">
      <c r="A108" s="56" t="s">
        <v>370</v>
      </c>
      <c r="B108" s="55">
        <v>3286.3579166136929</v>
      </c>
      <c r="C108" s="55">
        <v>53170</v>
      </c>
      <c r="D108" s="61">
        <v>6.1808499466121741E-2</v>
      </c>
    </row>
    <row r="109" spans="1:4" x14ac:dyDescent="0.3">
      <c r="A109" s="56" t="s">
        <v>371</v>
      </c>
      <c r="B109" s="55">
        <v>405.81510259547122</v>
      </c>
      <c r="C109" s="55">
        <v>4382</v>
      </c>
      <c r="D109" s="61">
        <v>9.2609562436209769E-2</v>
      </c>
    </row>
    <row r="110" spans="1:4" x14ac:dyDescent="0.3">
      <c r="A110" s="56" t="s">
        <v>372</v>
      </c>
      <c r="B110" s="55">
        <v>2769.867962778425</v>
      </c>
      <c r="C110" s="55">
        <v>37525</v>
      </c>
      <c r="D110" s="61">
        <v>7.3813936383169215E-2</v>
      </c>
    </row>
    <row r="111" spans="1:4" x14ac:dyDescent="0.3">
      <c r="A111" s="56" t="s">
        <v>373</v>
      </c>
      <c r="B111" s="55">
        <v>150.18693237875792</v>
      </c>
      <c r="C111" s="55">
        <v>1034</v>
      </c>
      <c r="D111" s="61">
        <v>0.14524848392529779</v>
      </c>
    </row>
    <row r="112" spans="1:4" x14ac:dyDescent="0.3">
      <c r="A112" s="56" t="s">
        <v>374</v>
      </c>
      <c r="B112" s="55">
        <v>3686.3566908795588</v>
      </c>
      <c r="C112" s="55">
        <v>55626.92</v>
      </c>
      <c r="D112" s="61">
        <v>6.626929355210677E-2</v>
      </c>
    </row>
    <row r="113" spans="1:4" x14ac:dyDescent="0.3">
      <c r="A113" s="56" t="s">
        <v>375</v>
      </c>
      <c r="B113" s="55">
        <v>865.74633643656784</v>
      </c>
      <c r="C113" s="55">
        <v>5997</v>
      </c>
      <c r="D113" s="61">
        <v>0.14436323769160711</v>
      </c>
    </row>
    <row r="114" spans="1:4" x14ac:dyDescent="0.3">
      <c r="A114" s="56" t="s">
        <v>183</v>
      </c>
      <c r="B114" s="55">
        <v>820.22256662675693</v>
      </c>
      <c r="C114" s="55">
        <v>11427</v>
      </c>
      <c r="D114" s="61">
        <v>7.1779344239674192E-2</v>
      </c>
    </row>
    <row r="115" spans="1:4" x14ac:dyDescent="0.3">
      <c r="A115" s="56" t="s">
        <v>376</v>
      </c>
      <c r="B115" s="55">
        <v>3424.2090138770891</v>
      </c>
      <c r="C115" s="55">
        <v>39717</v>
      </c>
      <c r="D115" s="61">
        <v>8.6215197871870708E-2</v>
      </c>
    </row>
    <row r="116" spans="1:4" x14ac:dyDescent="0.3">
      <c r="A116" s="56" t="s">
        <v>377</v>
      </c>
      <c r="B116" s="55">
        <v>510.73590601546533</v>
      </c>
      <c r="C116" s="55">
        <v>7382</v>
      </c>
      <c r="D116" s="61">
        <v>6.9186657547475661E-2</v>
      </c>
    </row>
    <row r="117" spans="1:4" x14ac:dyDescent="0.3">
      <c r="A117" s="56" t="s">
        <v>378</v>
      </c>
      <c r="B117" s="55">
        <v>329.25675201023444</v>
      </c>
      <c r="C117" s="55">
        <v>2816</v>
      </c>
      <c r="D117" s="61">
        <v>0.11692356250363439</v>
      </c>
    </row>
    <row r="118" spans="1:4" x14ac:dyDescent="0.3">
      <c r="A118" s="56" t="s">
        <v>379</v>
      </c>
      <c r="B118" s="55">
        <v>395.67670359296949</v>
      </c>
      <c r="C118" s="55">
        <v>5257</v>
      </c>
      <c r="D118" s="61">
        <v>7.5266635646370456E-2</v>
      </c>
    </row>
    <row r="119" spans="1:4" x14ac:dyDescent="0.3">
      <c r="A119" s="56" t="s">
        <v>380</v>
      </c>
      <c r="B119" s="55">
        <v>2058.4932157484195</v>
      </c>
      <c r="C119" s="55">
        <v>25599</v>
      </c>
      <c r="D119" s="61">
        <v>8.0413032374249752E-2</v>
      </c>
    </row>
    <row r="120" spans="1:4" x14ac:dyDescent="0.3">
      <c r="A120" s="56" t="s">
        <v>381</v>
      </c>
      <c r="B120" s="55">
        <v>2006.2061080439503</v>
      </c>
      <c r="C120" s="55">
        <v>24600</v>
      </c>
      <c r="D120" s="61">
        <v>8.1553093822924805E-2</v>
      </c>
    </row>
    <row r="121" spans="1:4" x14ac:dyDescent="0.3">
      <c r="A121" s="56" t="s">
        <v>136</v>
      </c>
      <c r="B121" s="55">
        <v>3431.2035339592385</v>
      </c>
      <c r="C121" s="55">
        <v>51987.09</v>
      </c>
      <c r="D121" s="61">
        <v>6.6001069380094923E-2</v>
      </c>
    </row>
    <row r="122" spans="1:4" x14ac:dyDescent="0.3">
      <c r="A122" s="56" t="s">
        <v>382</v>
      </c>
      <c r="B122" s="55">
        <v>271.5136769652741</v>
      </c>
      <c r="C122" s="55">
        <v>2952</v>
      </c>
      <c r="D122" s="61">
        <v>9.1976177833764938E-2</v>
      </c>
    </row>
    <row r="123" spans="1:4" x14ac:dyDescent="0.3">
      <c r="A123" s="56" t="s">
        <v>134</v>
      </c>
      <c r="B123" s="55">
        <v>840.04736949048333</v>
      </c>
      <c r="C123" s="55">
        <v>8325</v>
      </c>
      <c r="D123" s="61">
        <v>0.10090659092978779</v>
      </c>
    </row>
    <row r="124" spans="1:4" x14ac:dyDescent="0.3">
      <c r="A124" s="56" t="s">
        <v>383</v>
      </c>
      <c r="B124" s="55">
        <v>377.06288410399281</v>
      </c>
      <c r="C124" s="55">
        <v>3600</v>
      </c>
      <c r="D124" s="61">
        <v>0.10473969002888689</v>
      </c>
    </row>
    <row r="125" spans="1:4" x14ac:dyDescent="0.3">
      <c r="A125" s="56" t="s">
        <v>384</v>
      </c>
      <c r="B125" s="55">
        <v>675.92984503762534</v>
      </c>
      <c r="C125" s="55">
        <v>7226</v>
      </c>
      <c r="D125" s="61">
        <v>9.3541356910825532E-2</v>
      </c>
    </row>
    <row r="126" spans="1:4" x14ac:dyDescent="0.3">
      <c r="A126" s="56" t="s">
        <v>385</v>
      </c>
      <c r="B126" s="55">
        <v>1338.4404562135571</v>
      </c>
      <c r="C126" s="55">
        <v>21240</v>
      </c>
      <c r="D126" s="61">
        <v>6.3015087392352037E-2</v>
      </c>
    </row>
    <row r="127" spans="1:4" x14ac:dyDescent="0.3">
      <c r="A127" s="56" t="s">
        <v>386</v>
      </c>
      <c r="B127" s="55">
        <v>746.48240383376196</v>
      </c>
      <c r="C127" s="55">
        <v>8977</v>
      </c>
      <c r="D127" s="61">
        <v>8.3154996528212316E-2</v>
      </c>
    </row>
    <row r="128" spans="1:4" x14ac:dyDescent="0.3">
      <c r="A128" s="56" t="s">
        <v>387</v>
      </c>
      <c r="B128" s="55">
        <v>286.43219135473549</v>
      </c>
      <c r="C128" s="55">
        <v>2241</v>
      </c>
      <c r="D128" s="61">
        <v>0.12781445397355443</v>
      </c>
    </row>
    <row r="129" spans="1:4" x14ac:dyDescent="0.3">
      <c r="A129" s="56" t="s">
        <v>388</v>
      </c>
      <c r="B129" s="55">
        <v>968.91707094595643</v>
      </c>
      <c r="C129" s="55">
        <v>11707</v>
      </c>
      <c r="D129" s="61">
        <v>8.2763907999142086E-2</v>
      </c>
    </row>
    <row r="130" spans="1:4" x14ac:dyDescent="0.3">
      <c r="A130" s="56" t="s">
        <v>389</v>
      </c>
      <c r="B130" s="55">
        <v>300.60704034199944</v>
      </c>
      <c r="C130" s="55">
        <v>300</v>
      </c>
      <c r="D130" s="61">
        <v>1.0020234678066648</v>
      </c>
    </row>
    <row r="131" spans="1:4" x14ac:dyDescent="0.3">
      <c r="A131" s="56" t="s">
        <v>390</v>
      </c>
      <c r="B131" s="55">
        <v>699.82287272936935</v>
      </c>
      <c r="C131" s="55">
        <v>8338</v>
      </c>
      <c r="D131" s="61">
        <v>8.3931742951471502E-2</v>
      </c>
    </row>
    <row r="132" spans="1:4" x14ac:dyDescent="0.3">
      <c r="A132" s="56" t="s">
        <v>391</v>
      </c>
      <c r="B132" s="55">
        <v>716.24605176973762</v>
      </c>
      <c r="C132" s="55">
        <v>9400</v>
      </c>
      <c r="D132" s="61">
        <v>7.6196388486142297E-2</v>
      </c>
    </row>
    <row r="133" spans="1:4" x14ac:dyDescent="0.3">
      <c r="A133" s="56" t="s">
        <v>392</v>
      </c>
      <c r="B133" s="55">
        <v>344.92831239396753</v>
      </c>
      <c r="C133" s="55">
        <v>6500</v>
      </c>
      <c r="D133" s="61">
        <v>5.3065894214456545E-2</v>
      </c>
    </row>
    <row r="134" spans="1:4" x14ac:dyDescent="0.3">
      <c r="A134" s="56" t="s">
        <v>197</v>
      </c>
      <c r="B134" s="55">
        <v>299.2438011577317</v>
      </c>
      <c r="C134" s="55">
        <v>8014</v>
      </c>
      <c r="D134" s="61">
        <v>3.7340129917361083E-2</v>
      </c>
    </row>
    <row r="135" spans="1:4" x14ac:dyDescent="0.3">
      <c r="A135" s="56" t="s">
        <v>393</v>
      </c>
      <c r="B135" s="55">
        <v>465.02599806456158</v>
      </c>
      <c r="C135" s="55">
        <v>3705</v>
      </c>
      <c r="D135" s="61">
        <v>0.12551308989596804</v>
      </c>
    </row>
    <row r="136" spans="1:4" x14ac:dyDescent="0.3">
      <c r="A136" s="56" t="s">
        <v>148</v>
      </c>
      <c r="B136" s="55">
        <v>5386.3105049045171</v>
      </c>
      <c r="C136" s="55">
        <v>105469</v>
      </c>
      <c r="D136" s="61">
        <v>5.1070082250751568E-2</v>
      </c>
    </row>
    <row r="137" spans="1:4" x14ac:dyDescent="0.3">
      <c r="A137" s="56" t="s">
        <v>394</v>
      </c>
      <c r="B137" s="55">
        <v>300.79910471728402</v>
      </c>
      <c r="C137" s="55">
        <v>2595</v>
      </c>
      <c r="D137" s="61">
        <v>0.11591487657698807</v>
      </c>
    </row>
    <row r="138" spans="1:4" x14ac:dyDescent="0.3">
      <c r="A138" s="56" t="s">
        <v>395</v>
      </c>
      <c r="B138" s="55">
        <v>1917.9293301819744</v>
      </c>
      <c r="C138" s="55">
        <v>36000</v>
      </c>
      <c r="D138" s="61">
        <v>5.3275814727277063E-2</v>
      </c>
    </row>
    <row r="139" spans="1:4" x14ac:dyDescent="0.3">
      <c r="A139" s="56" t="s">
        <v>185</v>
      </c>
      <c r="B139" s="55">
        <v>809.75570592670124</v>
      </c>
      <c r="C139" s="55">
        <v>8030</v>
      </c>
      <c r="D139" s="61">
        <v>0.10084130833458296</v>
      </c>
    </row>
    <row r="140" spans="1:4" x14ac:dyDescent="0.3">
      <c r="A140" s="56" t="s">
        <v>396</v>
      </c>
      <c r="B140" s="55">
        <v>980.81858874247723</v>
      </c>
      <c r="C140" s="55">
        <v>12250</v>
      </c>
      <c r="D140" s="61">
        <v>8.0066823570814474E-2</v>
      </c>
    </row>
    <row r="141" spans="1:4" x14ac:dyDescent="0.3">
      <c r="A141" s="56" t="s">
        <v>397</v>
      </c>
      <c r="B141" s="55">
        <v>784.89173476306757</v>
      </c>
      <c r="C141" s="55">
        <v>8630</v>
      </c>
      <c r="D141" s="61">
        <v>9.0949216079150352E-2</v>
      </c>
    </row>
    <row r="142" spans="1:4" x14ac:dyDescent="0.3">
      <c r="A142" s="56" t="s">
        <v>398</v>
      </c>
      <c r="B142" s="55">
        <v>538.87490379790427</v>
      </c>
      <c r="C142" s="55">
        <v>5905</v>
      </c>
      <c r="D142" s="61">
        <v>9.1257392683811056E-2</v>
      </c>
    </row>
    <row r="143" spans="1:4" x14ac:dyDescent="0.3">
      <c r="A143" s="56" t="s">
        <v>399</v>
      </c>
      <c r="B143" s="55">
        <v>2068.7532637040154</v>
      </c>
      <c r="C143" s="55">
        <v>17555</v>
      </c>
      <c r="D143" s="61">
        <v>0.11784410502443836</v>
      </c>
    </row>
    <row r="144" spans="1:4" x14ac:dyDescent="0.3">
      <c r="A144" s="56" t="s">
        <v>400</v>
      </c>
      <c r="B144" s="55">
        <v>436.98343069092988</v>
      </c>
      <c r="C144" s="55">
        <v>4800</v>
      </c>
      <c r="D144" s="61">
        <v>9.1038214727277064E-2</v>
      </c>
    </row>
    <row r="145" spans="1:4" x14ac:dyDescent="0.3">
      <c r="A145" s="56" t="s">
        <v>401</v>
      </c>
      <c r="B145" s="55">
        <v>229.78347930000717</v>
      </c>
      <c r="C145" s="55">
        <v>1650</v>
      </c>
      <c r="D145" s="61">
        <v>0.13926271472727708</v>
      </c>
    </row>
    <row r="146" spans="1:4" x14ac:dyDescent="0.3">
      <c r="A146" s="56" t="s">
        <v>402</v>
      </c>
      <c r="B146" s="55">
        <v>1350.1354784931113</v>
      </c>
      <c r="C146" s="55">
        <v>18695</v>
      </c>
      <c r="D146" s="61">
        <v>7.2219068119449656E-2</v>
      </c>
    </row>
    <row r="147" spans="1:4" x14ac:dyDescent="0.3">
      <c r="A147" s="56" t="s">
        <v>403</v>
      </c>
      <c r="B147" s="55">
        <v>54</v>
      </c>
      <c r="C147" s="55">
        <v>0</v>
      </c>
      <c r="D147" s="61" t="e">
        <v>#DIV/0!</v>
      </c>
    </row>
    <row r="148" spans="1:4" x14ac:dyDescent="0.3">
      <c r="A148" s="56" t="s">
        <v>404</v>
      </c>
      <c r="B148" s="55">
        <v>613.9317794045885</v>
      </c>
      <c r="C148" s="55">
        <v>9975</v>
      </c>
      <c r="D148" s="61">
        <v>6.1547045554344711E-2</v>
      </c>
    </row>
    <row r="149" spans="1:4" x14ac:dyDescent="0.3">
      <c r="A149" s="56" t="s">
        <v>405</v>
      </c>
      <c r="B149" s="55">
        <v>1474.0775000389744</v>
      </c>
      <c r="C149" s="55">
        <v>16938.59</v>
      </c>
      <c r="D149" s="61">
        <v>8.7024805490833329E-2</v>
      </c>
    </row>
    <row r="150" spans="1:4" x14ac:dyDescent="0.3">
      <c r="A150" s="56" t="s">
        <v>406</v>
      </c>
      <c r="B150" s="55">
        <v>1325.8033934676635</v>
      </c>
      <c r="C150" s="55">
        <v>20255</v>
      </c>
      <c r="D150" s="61">
        <v>6.5455610637751835E-2</v>
      </c>
    </row>
    <row r="151" spans="1:4" x14ac:dyDescent="0.3">
      <c r="A151" s="56" t="s">
        <v>407</v>
      </c>
      <c r="B151" s="55">
        <v>1625.7906490302653</v>
      </c>
      <c r="C151" s="55">
        <v>20720.3</v>
      </c>
      <c r="D151" s="61">
        <v>7.8463663606717346E-2</v>
      </c>
    </row>
    <row r="152" spans="1:4" x14ac:dyDescent="0.3">
      <c r="A152" s="56" t="s">
        <v>408</v>
      </c>
      <c r="B152" s="55">
        <v>10292.953945153313</v>
      </c>
      <c r="C152" s="55">
        <v>415000</v>
      </c>
      <c r="D152" s="61">
        <v>2.4802298663020032E-2</v>
      </c>
    </row>
    <row r="153" spans="1:4" x14ac:dyDescent="0.3">
      <c r="A153" s="56" t="s">
        <v>409</v>
      </c>
      <c r="B153" s="55">
        <v>725.91051539045839</v>
      </c>
      <c r="C153" s="55">
        <v>7894</v>
      </c>
      <c r="D153" s="61">
        <v>9.1957247959267588E-2</v>
      </c>
    </row>
    <row r="154" spans="1:4" x14ac:dyDescent="0.3">
      <c r="A154" s="56" t="s">
        <v>410</v>
      </c>
      <c r="B154" s="55">
        <v>118.29130390127598</v>
      </c>
      <c r="C154" s="55">
        <v>747</v>
      </c>
      <c r="D154" s="61">
        <v>0.15835515917172152</v>
      </c>
    </row>
    <row r="155" spans="1:4" x14ac:dyDescent="0.3">
      <c r="A155" s="56" t="s">
        <v>411</v>
      </c>
      <c r="B155" s="55">
        <v>2754.6916229716726</v>
      </c>
      <c r="C155" s="55">
        <v>22367</v>
      </c>
      <c r="D155" s="61">
        <v>0.1231587438177526</v>
      </c>
    </row>
    <row r="156" spans="1:4" x14ac:dyDescent="0.3">
      <c r="A156" s="56" t="s">
        <v>412</v>
      </c>
      <c r="B156" s="55">
        <v>1607.9214033315222</v>
      </c>
      <c r="C156" s="55">
        <v>15633</v>
      </c>
      <c r="D156" s="61">
        <v>0.10285430840731288</v>
      </c>
    </row>
    <row r="157" spans="1:4" x14ac:dyDescent="0.3">
      <c r="A157" s="56" t="s">
        <v>413</v>
      </c>
      <c r="B157" s="55">
        <v>402.63076967329056</v>
      </c>
      <c r="C157" s="55">
        <v>4113</v>
      </c>
      <c r="D157" s="61">
        <v>9.7892236730680898E-2</v>
      </c>
    </row>
    <row r="158" spans="1:4" x14ac:dyDescent="0.3">
      <c r="A158" s="56" t="s">
        <v>294</v>
      </c>
      <c r="B158" s="55">
        <v>344435.50839999999</v>
      </c>
      <c r="C158" s="55">
        <v>4196889.1999999993</v>
      </c>
      <c r="D158" s="61">
        <v>8.2069240331624757E-2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1077-5AD3-4CA4-A987-FDE79D7A9197}">
  <dimension ref="A1:N9"/>
  <sheetViews>
    <sheetView showGridLines="0" topLeftCell="A23" workbookViewId="0">
      <selection activeCell="S1" sqref="S1:S1048576"/>
    </sheetView>
  </sheetViews>
  <sheetFormatPr baseColWidth="10" defaultColWidth="11.44140625" defaultRowHeight="14.4" x14ac:dyDescent="0.3"/>
  <cols>
    <col min="1" max="1" width="20.109375" bestFit="1" customWidth="1"/>
    <col min="2" max="2" width="22.44140625" bestFit="1" customWidth="1"/>
    <col min="3" max="3" width="13.6640625" bestFit="1" customWidth="1"/>
    <col min="4" max="4" width="13.33203125" bestFit="1" customWidth="1"/>
    <col min="5" max="5" width="12" bestFit="1" customWidth="1"/>
    <col min="6" max="6" width="11" bestFit="1" customWidth="1"/>
    <col min="7" max="7" width="12.5546875" bestFit="1" customWidth="1"/>
    <col min="8" max="8" width="7.6640625" bestFit="1" customWidth="1"/>
    <col min="9" max="9" width="13.6640625" bestFit="1" customWidth="1"/>
    <col min="10" max="10" width="13.33203125" bestFit="1" customWidth="1"/>
    <col min="11" max="11" width="13.33203125" customWidth="1"/>
    <col min="12" max="12" width="12.5546875" customWidth="1"/>
  </cols>
  <sheetData>
    <row r="1" spans="1:14" x14ac:dyDescent="0.3">
      <c r="A1" s="9" t="s">
        <v>414</v>
      </c>
      <c r="B1" s="9" t="s">
        <v>415</v>
      </c>
      <c r="C1" s="6"/>
      <c r="D1" s="6"/>
      <c r="E1" s="6"/>
      <c r="F1" s="6"/>
      <c r="G1" s="6"/>
      <c r="H1" s="81" t="s">
        <v>27</v>
      </c>
      <c r="I1" s="81"/>
      <c r="J1" s="81"/>
      <c r="K1" s="81"/>
      <c r="L1" s="81"/>
    </row>
    <row r="2" spans="1:14" x14ac:dyDescent="0.3">
      <c r="A2" s="9" t="s">
        <v>283</v>
      </c>
      <c r="B2" s="33" t="s">
        <v>34</v>
      </c>
      <c r="C2" s="6" t="s">
        <v>110</v>
      </c>
      <c r="D2" s="6" t="s">
        <v>108</v>
      </c>
      <c r="E2" s="6" t="s">
        <v>29</v>
      </c>
      <c r="F2" s="6" t="s">
        <v>109</v>
      </c>
      <c r="G2" s="6" t="s">
        <v>294</v>
      </c>
      <c r="H2" s="13" t="s">
        <v>34</v>
      </c>
      <c r="I2" s="13" t="s">
        <v>110</v>
      </c>
      <c r="J2" s="13" t="s">
        <v>108</v>
      </c>
      <c r="K2" s="13" t="s">
        <v>29</v>
      </c>
      <c r="L2" s="47" t="s">
        <v>109</v>
      </c>
    </row>
    <row r="3" spans="1:14" x14ac:dyDescent="0.3">
      <c r="A3" s="11">
        <v>45292</v>
      </c>
      <c r="B3" s="54">
        <v>30716.833248187282</v>
      </c>
      <c r="C3" s="54">
        <v>4008.78</v>
      </c>
      <c r="D3" s="54">
        <v>0</v>
      </c>
      <c r="E3" s="54">
        <v>1875.9433518127282</v>
      </c>
      <c r="F3" s="54">
        <v>3243.4288000000006</v>
      </c>
      <c r="G3" s="54">
        <v>39844.985400000012</v>
      </c>
      <c r="H3" s="14">
        <f>GETPIVOTDATA("TOTAL COST ",$A$1,"MESOS",DATE(2024,1,1),"GRUP","EVENTS")/GETPIVOTDATA("TOTAL COST ",$A$1,"MESOS",DATE(2024,1,1))</f>
        <v>0.77090838256869509</v>
      </c>
      <c r="I3" s="14">
        <f>C3/G3</f>
        <v>0.10060939814022367</v>
      </c>
      <c r="J3" s="14">
        <f>D3/G3</f>
        <v>0</v>
      </c>
      <c r="K3" s="14">
        <f>E3/G3</f>
        <v>4.7081040009936299E-2</v>
      </c>
      <c r="L3" s="14">
        <f>F3/G3</f>
        <v>8.1401179281144861E-2</v>
      </c>
      <c r="M3" s="52"/>
      <c r="N3" s="12"/>
    </row>
    <row r="4" spans="1:14" x14ac:dyDescent="0.3">
      <c r="A4" s="11">
        <v>45323</v>
      </c>
      <c r="B4" s="54">
        <v>29889.470999999998</v>
      </c>
      <c r="C4" s="54">
        <v>4249.0999999999995</v>
      </c>
      <c r="D4" s="54">
        <v>654.63</v>
      </c>
      <c r="E4" s="54"/>
      <c r="F4" s="54">
        <v>2641.0284000000011</v>
      </c>
      <c r="G4" s="54">
        <v>37434.229399999997</v>
      </c>
      <c r="H4" s="14">
        <f>GETPIVOTDATA("TOTAL COST ",$A$1,"MESOS",DATE(2024,2,1),"GRUP","EVENTS")/GETPIVOTDATA("TOTAL COST ",$A$1,"MESOS",DATE(2024,2,1))</f>
        <v>0.79845295279405437</v>
      </c>
      <c r="I4" s="14">
        <f t="shared" ref="I4:I8" si="0">C4/G4</f>
        <v>0.11350841377277023</v>
      </c>
      <c r="J4" s="14">
        <f t="shared" ref="J4:J8" si="1">D4/G4</f>
        <v>1.748747097222202E-2</v>
      </c>
      <c r="K4" s="14">
        <f t="shared" ref="K4:K8" si="2">E4/G4</f>
        <v>0</v>
      </c>
      <c r="L4" s="14">
        <f t="shared" ref="L4:L8" si="3">F4/G4</f>
        <v>7.0551162460953484E-2</v>
      </c>
      <c r="M4" s="52"/>
    </row>
    <row r="5" spans="1:14" x14ac:dyDescent="0.3">
      <c r="A5" s="11">
        <v>45352</v>
      </c>
      <c r="B5" s="54">
        <v>32159.848714690052</v>
      </c>
      <c r="C5" s="54">
        <v>4747.8599999999997</v>
      </c>
      <c r="D5" s="54">
        <v>109.72</v>
      </c>
      <c r="E5" s="54">
        <v>2128.5176853099383</v>
      </c>
      <c r="F5" s="54">
        <v>2930.5151999999994</v>
      </c>
      <c r="G5" s="54">
        <v>42076.461599999995</v>
      </c>
      <c r="H5" s="14">
        <f>B5/G5</f>
        <v>0.76431922960675136</v>
      </c>
      <c r="I5" s="14">
        <f t="shared" si="0"/>
        <v>0.11283886095593172</v>
      </c>
      <c r="J5" s="14">
        <f t="shared" si="1"/>
        <v>2.6076337179455227E-3</v>
      </c>
      <c r="K5" s="14">
        <f t="shared" si="2"/>
        <v>5.0586898336288301E-2</v>
      </c>
      <c r="L5" s="14">
        <f t="shared" si="3"/>
        <v>6.9647377383082978E-2</v>
      </c>
      <c r="M5" s="52"/>
    </row>
    <row r="6" spans="1:14" x14ac:dyDescent="0.3">
      <c r="A6" s="11">
        <v>45383</v>
      </c>
      <c r="B6" s="54">
        <v>30162.409281243381</v>
      </c>
      <c r="C6" s="54">
        <v>4400.3021999999992</v>
      </c>
      <c r="D6" s="54">
        <v>59.66</v>
      </c>
      <c r="E6" s="54">
        <v>8445.4047187566175</v>
      </c>
      <c r="F6" s="54">
        <v>2825.895199999999</v>
      </c>
      <c r="G6" s="54">
        <v>45893.671399999999</v>
      </c>
      <c r="H6" s="14">
        <f>B6/G6</f>
        <v>0.65722371649794353</v>
      </c>
      <c r="I6" s="14">
        <f t="shared" si="0"/>
        <v>9.5880370120051003E-2</v>
      </c>
      <c r="J6" s="14">
        <f t="shared" si="1"/>
        <v>1.2999613711445191E-3</v>
      </c>
      <c r="K6" s="14">
        <f t="shared" si="2"/>
        <v>0.1840211179695817</v>
      </c>
      <c r="L6" s="14">
        <f t="shared" si="3"/>
        <v>6.1574834041279142E-2</v>
      </c>
      <c r="M6" s="52"/>
    </row>
    <row r="7" spans="1:14" x14ac:dyDescent="0.3">
      <c r="A7" s="11">
        <v>45413</v>
      </c>
      <c r="B7" s="54">
        <v>43881.179565477672</v>
      </c>
      <c r="C7" s="54">
        <v>6070.6800000000021</v>
      </c>
      <c r="D7" s="54">
        <v>1084.3399999999999</v>
      </c>
      <c r="E7" s="54">
        <v>23958.421234522313</v>
      </c>
      <c r="F7" s="54">
        <v>2786.5151999999994</v>
      </c>
      <c r="G7" s="54">
        <v>77781.135999999969</v>
      </c>
      <c r="H7" s="14">
        <f>B7/G7</f>
        <v>0.56416223549984779</v>
      </c>
      <c r="I7" s="14">
        <f t="shared" si="0"/>
        <v>7.8048230100419266E-2</v>
      </c>
      <c r="J7" s="14">
        <f t="shared" si="1"/>
        <v>1.3940912356949895E-2</v>
      </c>
      <c r="K7" s="14">
        <f t="shared" si="2"/>
        <v>0.30802354486725836</v>
      </c>
      <c r="L7" s="14">
        <f t="shared" si="3"/>
        <v>3.5825077175524932E-2</v>
      </c>
    </row>
    <row r="8" spans="1:14" x14ac:dyDescent="0.3">
      <c r="A8" s="11">
        <v>45444</v>
      </c>
      <c r="B8" s="54">
        <v>56994.44826116426</v>
      </c>
      <c r="C8" s="54">
        <v>4112.53</v>
      </c>
      <c r="D8" s="54">
        <v>1007.750654172768</v>
      </c>
      <c r="E8" s="54">
        <v>36004.987284662966</v>
      </c>
      <c r="F8" s="54">
        <v>3285.308399999999</v>
      </c>
      <c r="G8" s="54">
        <v>101405.02459999999</v>
      </c>
      <c r="H8" s="14">
        <f>B8/G8</f>
        <v>0.56204757590645327</v>
      </c>
      <c r="I8" s="14">
        <f t="shared" si="0"/>
        <v>4.0555485452739591E-2</v>
      </c>
      <c r="J8" s="14">
        <f t="shared" si="1"/>
        <v>9.9378769261968918E-3</v>
      </c>
      <c r="K8" s="14">
        <f t="shared" si="2"/>
        <v>0.35506117597907438</v>
      </c>
      <c r="L8" s="14">
        <f t="shared" si="3"/>
        <v>3.2397885735535821E-2</v>
      </c>
    </row>
    <row r="9" spans="1:14" x14ac:dyDescent="0.3">
      <c r="A9" s="11" t="s">
        <v>294</v>
      </c>
      <c r="B9" s="10">
        <v>223804.19007076265</v>
      </c>
      <c r="C9" s="10">
        <v>27589.252199999995</v>
      </c>
      <c r="D9" s="10">
        <v>2916.1006541727679</v>
      </c>
      <c r="E9" s="10">
        <v>72413.274275064556</v>
      </c>
      <c r="F9" s="10">
        <v>17712.691199999997</v>
      </c>
      <c r="G9" s="10">
        <v>344435.50839999999</v>
      </c>
    </row>
  </sheetData>
  <mergeCells count="1">
    <mergeCell ref="H1:L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D0C626F2-F604-4E6D-A972-8F4C2E25803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D88C1A5-AE0D-410E-B44E-A3FF6A34D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21e8b-9a2a-4f27-9a15-13ba766ee81c"/>
    <ds:schemaRef ds:uri="834d9a2c-b3a2-40cf-9f5a-3e1af91402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6C76B8-CC56-40DA-9BC8-68F1165188F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D30E40-E1FA-4AA1-95F2-0AB9C836FDE3}">
  <ds:schemaRefs>
    <ds:schemaRef ds:uri="http://schemas.microsoft.com/office/2006/metadata/properties"/>
    <ds:schemaRef ds:uri="http://schemas.microsoft.com/office/infopath/2007/PartnerControls"/>
    <ds:schemaRef ds:uri="7bc21e8b-9a2a-4f27-9a15-13ba766ee81c"/>
    <ds:schemaRef ds:uri="834d9a2c-b3a2-40cf-9f5a-3e1af91402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Events</vt:lpstr>
      <vt:lpstr>% DEPT. LOG.</vt:lpstr>
      <vt:lpstr>Cost Events_Casaments </vt:lpstr>
      <vt:lpstr>Resum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MAGATZEM</dc:creator>
  <cp:keywords/>
  <dc:description/>
  <cp:lastModifiedBy>Oriol Puig - CAL BLAY</cp:lastModifiedBy>
  <cp:revision/>
  <dcterms:created xsi:type="dcterms:W3CDTF">2024-01-12T09:20:06Z</dcterms:created>
  <dcterms:modified xsi:type="dcterms:W3CDTF">2026-09-07T18:09:30Z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0x0101006827E1F2A6A6134F92A9F15D20A2C7EB</vt:lpwstr>
  </property>
  <property fmtid="{D5CDD505-2E9C-101B-9397-08002B2CF9AE}" pid="3" name="MediaServiceImageTags">
    <vt:lpwstr/>
  </property>
</Properties>
</file>